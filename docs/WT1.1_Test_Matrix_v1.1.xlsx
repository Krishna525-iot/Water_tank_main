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Rules" sheetId="3" state="visible" r:id="rId3"/>
    <sheet xmlns:r="http://schemas.openxmlformats.org/officeDocument/2006/relationships" name="Test Cases" sheetId="4" state="visible" r:id="rId4"/>
    <sheet xmlns:r="http://schemas.openxmlformats.org/officeDocument/2006/relationships" name="Decisions" sheetId="5" state="visible" r:id="rId5"/>
  </sheets>
  <definedNames>
    <definedName name="_xlnm._FilterDatabase" localSheetId="2" hidden="1">'Rules'!$A$1:$E$104</definedName>
    <definedName name="_xlnm._FilterDatabase" localSheetId="3" hidden="1">'Test Cases'!$A$1:$M$163</definedName>
    <definedName name="_xlnm.Print_Titles" localSheetId="3">'Test Cases'!$1:$1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sz val="9"/>
    </font>
    <font>
      <name val="Arial"/>
      <b val="1"/>
      <sz val="10"/>
    </font>
    <font>
      <name val="Arial"/>
      <sz val="10"/>
    </font>
    <font>
      <name val="Arial"/>
      <b val="1"/>
      <color rgb="001F3864"/>
      <sz val="10"/>
    </font>
    <font>
      <name val="Arial"/>
      <b val="1"/>
      <color rgb="00FFFFFF"/>
      <sz val="10"/>
    </font>
    <font>
      <name val="Arial"/>
      <b val="1"/>
      <sz val="9"/>
    </font>
  </fonts>
  <fills count="5">
    <fill>
      <patternFill/>
    </fill>
    <fill>
      <patternFill patternType="gray125"/>
    </fill>
    <fill>
      <patternFill patternType="solid">
        <fgColor rgb="00D9E2F3"/>
      </patternFill>
    </fill>
    <fill>
      <patternFill patternType="solid">
        <fgColor rgb="001F3864"/>
      </patternFill>
    </fill>
    <fill>
      <patternFill patternType="solid">
        <fgColor rgb="00FFF8D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vertical="center" wrapText="1"/>
    </xf>
    <xf numFmtId="0" fontId="7" fillId="0" borderId="1" applyAlignment="1" pivotButton="0" quotePrefix="0" xfId="0">
      <alignment vertical="top" wrapText="1"/>
    </xf>
    <xf numFmtId="0" fontId="2" fillId="0" borderId="1" applyAlignment="1" pivotButton="0" quotePrefix="0" xfId="0">
      <alignment vertical="top" wrapText="1"/>
    </xf>
    <xf numFmtId="9" fontId="2" fillId="0" borderId="1" applyAlignment="1" pivotButton="0" quotePrefix="0" xfId="0">
      <alignment vertical="top" wrapText="1"/>
    </xf>
    <xf numFmtId="0" fontId="7" fillId="2" borderId="1" applyAlignment="1" pivotButton="0" quotePrefix="0" xfId="0">
      <alignment vertical="top" wrapText="1"/>
    </xf>
    <xf numFmtId="9" fontId="7" fillId="2"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5" customWidth="1" min="2" max="2"/>
  </cols>
  <sheetData>
    <row r="1">
      <c r="A1" s="1" t="inlineStr">
        <is>
          <t>Helonix Water Tank Controller WT1.1 – Test Matrix v1.1</t>
        </is>
      </c>
    </row>
    <row r="2">
      <c r="A2" s="2" t="inlineStr">
        <is>
          <t>Date 26-09-2026. Firmware: STM32 branch fix/testing-report-24-09-26; ESP-01 web app branch fix/device-sync. Rules are described in WT1.1_Functional_Specification_v1.1.docx.</t>
        </is>
      </c>
    </row>
    <row r="4">
      <c r="A4" s="3" t="inlineStr">
        <is>
          <t>Sheet</t>
        </is>
      </c>
      <c r="B4" s="3" t="inlineStr">
        <is>
          <t>Purpose</t>
        </is>
      </c>
    </row>
    <row r="5">
      <c r="A5" s="4" t="inlineStr">
        <is>
          <t>Test Cases</t>
        </is>
      </c>
      <c r="B5" s="4" t="inlineStr">
        <is>
          <t>One row per test. Each test is linked to a rule ID of the specification.</t>
        </is>
      </c>
    </row>
    <row r="6">
      <c r="A6" s="4" t="inlineStr">
        <is>
          <t>Summary</t>
        </is>
      </c>
      <c r="B6" s="4" t="inlineStr">
        <is>
          <t>Pass / Fail count per module (calculated automatically from the Status column).</t>
        </is>
      </c>
    </row>
    <row r="7">
      <c r="A7" s="4" t="inlineStr">
        <is>
          <t>Rules</t>
        </is>
      </c>
      <c r="B7" s="4" t="inlineStr">
        <is>
          <t>All rules with a Client OK? dropdown and a Client Comment column.</t>
        </is>
      </c>
    </row>
    <row r="8">
      <c r="A8" s="4" t="inlineStr">
        <is>
          <t>Decisions</t>
        </is>
      </c>
      <c r="B8" s="4" t="inlineStr">
        <is>
          <t>Open points that need a client decision.</t>
        </is>
      </c>
    </row>
    <row r="9">
      <c r="A9" s="4" t="inlineStr"/>
      <c r="B9" s="4" t="inlineStr"/>
    </row>
    <row r="10">
      <c r="A10" s="4" t="inlineStr">
        <is>
          <t>Columns to fill (yellow)</t>
        </is>
      </c>
      <c r="B10" s="4" t="inlineStr">
        <is>
          <t>Actual Result, Status, Tested By, Date, Client Comment. Developer Remark is filled by the development team.</t>
        </is>
      </c>
    </row>
    <row r="11">
      <c r="A11" s="4" t="inlineStr">
        <is>
          <t>Status values</t>
        </is>
      </c>
      <c r="B11" s="4" t="inlineStr">
        <is>
          <t>Not Run = not tested yet   Pass = result matches Expected   Fail = result differs (describe it in Actual Result)   Blocked = could not be tested (say why in Actual Result)</t>
        </is>
      </c>
    </row>
    <row r="12">
      <c r="A12" s="4" t="inlineStr">
        <is>
          <t>New problem found?</t>
        </is>
      </c>
      <c r="B12" s="4" t="inlineStr">
        <is>
          <t>Add a new row at the bottom with the next Test ID and the rule ID it belongs to (or 'NEW' if no rule covers it). A 'NEW' row means the specification needs a new rule.</t>
        </is>
      </c>
    </row>
    <row r="14">
      <c r="A14" s="5" t="inlineStr">
        <is>
          <t>Example of a filled row</t>
        </is>
      </c>
    </row>
    <row r="15">
      <c r="A15" s="2" t="inlineStr">
        <is>
          <t>Test ID</t>
        </is>
      </c>
      <c r="B15" s="2" t="inlineStr">
        <is>
          <t>TC-AUTO-07</t>
        </is>
      </c>
    </row>
    <row r="16">
      <c r="A16" s="2" t="inlineStr">
        <is>
          <t>Rule ID</t>
        </is>
      </c>
      <c r="B16" s="2" t="inlineStr">
        <is>
          <t>AUTO-04</t>
        </is>
      </c>
    </row>
    <row r="17">
      <c r="A17" s="2" t="inlineStr">
        <is>
          <t>Precondition</t>
        </is>
      </c>
      <c r="B17" s="2" t="inlineStr">
        <is>
          <t>Auto stopped at 100%</t>
        </is>
      </c>
    </row>
    <row r="18">
      <c r="A18" s="2" t="inlineStr">
        <is>
          <t>Steps / Event</t>
        </is>
      </c>
      <c r="B18" s="2" t="inlineStr">
        <is>
          <t>Lower level to 25%</t>
        </is>
      </c>
    </row>
    <row r="19">
      <c r="A19" s="2" t="inlineStr">
        <is>
          <t>Expected Result</t>
        </is>
      </c>
      <c r="B19" s="2" t="inlineStr">
        <is>
          <t>Motor ON</t>
        </is>
      </c>
    </row>
    <row r="20">
      <c r="A20" s="2" t="inlineStr">
        <is>
          <t>Actual Result</t>
        </is>
      </c>
      <c r="B20" s="2" t="inlineStr">
        <is>
          <t>Motor ON after about 6 s</t>
        </is>
      </c>
    </row>
    <row r="21">
      <c r="A21" s="2" t="inlineStr">
        <is>
          <t>Status</t>
        </is>
      </c>
      <c r="B21" s="2" t="inlineStr">
        <is>
          <t>Pass</t>
        </is>
      </c>
    </row>
    <row r="22">
      <c r="A22" s="2" t="inlineStr">
        <is>
          <t>Tested By</t>
        </is>
      </c>
      <c r="B22" s="2" t="inlineStr">
        <is>
          <t>R. Kumar</t>
        </is>
      </c>
    </row>
    <row r="23">
      <c r="A23" s="2" t="inlineStr">
        <is>
          <t>Date</t>
        </is>
      </c>
      <c r="B23" s="2" t="inlineStr">
        <is>
          <t>27-09-2026</t>
        </is>
      </c>
    </row>
    <row r="24">
      <c r="A24" s="2" t="inlineStr">
        <is>
          <t>Client Comment</t>
        </is>
      </c>
      <c r="B24" s="2" t="inlineStr">
        <is>
          <t>OK</t>
        </is>
      </c>
    </row>
    <row r="25">
      <c r="A25" s="2" t="inlineStr">
        <is>
          <t>Developer Remark</t>
        </is>
      </c>
      <c r="B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10" customWidth="1" min="5" max="5"/>
    <col width="10" customWidth="1" min="6" max="6"/>
    <col width="10" customWidth="1" min="7" max="7"/>
  </cols>
  <sheetData>
    <row r="1">
      <c r="A1" s="1" t="inlineStr">
        <is>
          <t>Test summary</t>
        </is>
      </c>
    </row>
    <row r="2">
      <c r="A2" s="2" t="inlineStr">
        <is>
          <t>Calculated from the Status column of the Test Cases sheet.</t>
        </is>
      </c>
    </row>
    <row r="4" ht="30" customHeight="1">
      <c r="A4" s="6" t="inlineStr">
        <is>
          <t>Module</t>
        </is>
      </c>
      <c r="B4" s="6" t="inlineStr">
        <is>
          <t>Total</t>
        </is>
      </c>
      <c r="C4" s="6" t="inlineStr">
        <is>
          <t>Pass</t>
        </is>
      </c>
      <c r="D4" s="6" t="inlineStr">
        <is>
          <t>Fail</t>
        </is>
      </c>
      <c r="E4" s="6" t="inlineStr">
        <is>
          <t>Blocked</t>
        </is>
      </c>
      <c r="F4" s="6" t="inlineStr">
        <is>
          <t>Not Run</t>
        </is>
      </c>
      <c r="G4" s="6" t="inlineStr">
        <is>
          <t>% Pass</t>
        </is>
      </c>
    </row>
    <row r="5">
      <c r="A5" s="7" t="inlineStr">
        <is>
          <t>General behaviour</t>
        </is>
      </c>
      <c r="B5" s="8">
        <f>COUNTIF('Test Cases'!$B$2:$B$363,A5)</f>
        <v/>
      </c>
      <c r="C5" s="8">
        <f>COUNTIFS('Test Cases'!$B$2:$B$363,A5,'Test Cases'!$I$2:$I$363,"Pass")</f>
        <v/>
      </c>
      <c r="D5" s="8">
        <f>COUNTIFS('Test Cases'!$B$2:$B$363,A5,'Test Cases'!$I$2:$I$363,"Fail")</f>
        <v/>
      </c>
      <c r="E5" s="8">
        <f>COUNTIFS('Test Cases'!$B$2:$B$363,A5,'Test Cases'!$I$2:$I$363,"Blocked")</f>
        <v/>
      </c>
      <c r="F5" s="8">
        <f>COUNTIFS('Test Cases'!$B$2:$B$363,A5,'Test Cases'!$I$2:$I$363,"Not Run")</f>
        <v/>
      </c>
      <c r="G5" s="9">
        <f>IF(B5=0,0,C5/B5)</f>
        <v/>
      </c>
    </row>
    <row r="6">
      <c r="A6" s="7" t="inlineStr">
        <is>
          <t>Device buttons</t>
        </is>
      </c>
      <c r="B6" s="8">
        <f>COUNTIF('Test Cases'!$B$2:$B$363,A6)</f>
        <v/>
      </c>
      <c r="C6" s="8">
        <f>COUNTIFS('Test Cases'!$B$2:$B$363,A6,'Test Cases'!$I$2:$I$363,"Pass")</f>
        <v/>
      </c>
      <c r="D6" s="8">
        <f>COUNTIFS('Test Cases'!$B$2:$B$363,A6,'Test Cases'!$I$2:$I$363,"Fail")</f>
        <v/>
      </c>
      <c r="E6" s="8">
        <f>COUNTIFS('Test Cases'!$B$2:$B$363,A6,'Test Cases'!$I$2:$I$363,"Blocked")</f>
        <v/>
      </c>
      <c r="F6" s="8">
        <f>COUNTIFS('Test Cases'!$B$2:$B$363,A6,'Test Cases'!$I$2:$I$363,"Not Run")</f>
        <v/>
      </c>
      <c r="G6" s="9">
        <f>IF(B6=0,0,C6/B6)</f>
        <v/>
      </c>
    </row>
    <row r="7">
      <c r="A7" s="7" t="inlineStr">
        <is>
          <t>Auto mode</t>
        </is>
      </c>
      <c r="B7" s="8">
        <f>COUNTIF('Test Cases'!$B$2:$B$363,A7)</f>
        <v/>
      </c>
      <c r="C7" s="8">
        <f>COUNTIFS('Test Cases'!$B$2:$B$363,A7,'Test Cases'!$I$2:$I$363,"Pass")</f>
        <v/>
      </c>
      <c r="D7" s="8">
        <f>COUNTIFS('Test Cases'!$B$2:$B$363,A7,'Test Cases'!$I$2:$I$363,"Fail")</f>
        <v/>
      </c>
      <c r="E7" s="8">
        <f>COUNTIFS('Test Cases'!$B$2:$B$363,A7,'Test Cases'!$I$2:$I$363,"Blocked")</f>
        <v/>
      </c>
      <c r="F7" s="8">
        <f>COUNTIFS('Test Cases'!$B$2:$B$363,A7,'Test Cases'!$I$2:$I$363,"Not Run")</f>
        <v/>
      </c>
      <c r="G7" s="9">
        <f>IF(B7=0,0,C7/B7)</f>
        <v/>
      </c>
    </row>
    <row r="8">
      <c r="A8" s="7" t="inlineStr">
        <is>
          <t>Manual mode</t>
        </is>
      </c>
      <c r="B8" s="8">
        <f>COUNTIF('Test Cases'!$B$2:$B$363,A8)</f>
        <v/>
      </c>
      <c r="C8" s="8">
        <f>COUNTIFS('Test Cases'!$B$2:$B$363,A8,'Test Cases'!$I$2:$I$363,"Pass")</f>
        <v/>
      </c>
      <c r="D8" s="8">
        <f>COUNTIFS('Test Cases'!$B$2:$B$363,A8,'Test Cases'!$I$2:$I$363,"Fail")</f>
        <v/>
      </c>
      <c r="E8" s="8">
        <f>COUNTIFS('Test Cases'!$B$2:$B$363,A8,'Test Cases'!$I$2:$I$363,"Blocked")</f>
        <v/>
      </c>
      <c r="F8" s="8">
        <f>COUNTIFS('Test Cases'!$B$2:$B$363,A8,'Test Cases'!$I$2:$I$363,"Not Run")</f>
        <v/>
      </c>
      <c r="G8" s="9">
        <f>IF(B8=0,0,C8/B8)</f>
        <v/>
      </c>
    </row>
    <row r="9">
      <c r="A9" s="7" t="inlineStr">
        <is>
          <t>Timer mode</t>
        </is>
      </c>
      <c r="B9" s="8">
        <f>COUNTIF('Test Cases'!$B$2:$B$363,A9)</f>
        <v/>
      </c>
      <c r="C9" s="8">
        <f>COUNTIFS('Test Cases'!$B$2:$B$363,A9,'Test Cases'!$I$2:$I$363,"Pass")</f>
        <v/>
      </c>
      <c r="D9" s="8">
        <f>COUNTIFS('Test Cases'!$B$2:$B$363,A9,'Test Cases'!$I$2:$I$363,"Fail")</f>
        <v/>
      </c>
      <c r="E9" s="8">
        <f>COUNTIFS('Test Cases'!$B$2:$B$363,A9,'Test Cases'!$I$2:$I$363,"Blocked")</f>
        <v/>
      </c>
      <c r="F9" s="8">
        <f>COUNTIFS('Test Cases'!$B$2:$B$363,A9,'Test Cases'!$I$2:$I$363,"Not Run")</f>
        <v/>
      </c>
      <c r="G9" s="9">
        <f>IF(B9=0,0,C9/B9)</f>
        <v/>
      </c>
    </row>
    <row r="10">
      <c r="A10" s="7" t="inlineStr">
        <is>
          <t>Twist mode</t>
        </is>
      </c>
      <c r="B10" s="8">
        <f>COUNTIF('Test Cases'!$B$2:$B$363,A10)</f>
        <v/>
      </c>
      <c r="C10" s="8">
        <f>COUNTIFS('Test Cases'!$B$2:$B$363,A10,'Test Cases'!$I$2:$I$363,"Pass")</f>
        <v/>
      </c>
      <c r="D10" s="8">
        <f>COUNTIFS('Test Cases'!$B$2:$B$363,A10,'Test Cases'!$I$2:$I$363,"Fail")</f>
        <v/>
      </c>
      <c r="E10" s="8">
        <f>COUNTIFS('Test Cases'!$B$2:$B$363,A10,'Test Cases'!$I$2:$I$363,"Blocked")</f>
        <v/>
      </c>
      <c r="F10" s="8">
        <f>COUNTIFS('Test Cases'!$B$2:$B$363,A10,'Test Cases'!$I$2:$I$363,"Not Run")</f>
        <v/>
      </c>
      <c r="G10" s="9">
        <f>IF(B10=0,0,C10/B10)</f>
        <v/>
      </c>
    </row>
    <row r="11">
      <c r="A11" s="7" t="inlineStr">
        <is>
          <t>Semi-Auto mode</t>
        </is>
      </c>
      <c r="B11" s="8">
        <f>COUNTIF('Test Cases'!$B$2:$B$363,A11)</f>
        <v/>
      </c>
      <c r="C11" s="8">
        <f>COUNTIFS('Test Cases'!$B$2:$B$363,A11,'Test Cases'!$I$2:$I$363,"Pass")</f>
        <v/>
      </c>
      <c r="D11" s="8">
        <f>COUNTIFS('Test Cases'!$B$2:$B$363,A11,'Test Cases'!$I$2:$I$363,"Fail")</f>
        <v/>
      </c>
      <c r="E11" s="8">
        <f>COUNTIFS('Test Cases'!$B$2:$B$363,A11,'Test Cases'!$I$2:$I$363,"Blocked")</f>
        <v/>
      </c>
      <c r="F11" s="8">
        <f>COUNTIFS('Test Cases'!$B$2:$B$363,A11,'Test Cases'!$I$2:$I$363,"Not Run")</f>
        <v/>
      </c>
      <c r="G11" s="9">
        <f>IF(B11=0,0,C11/B11)</f>
        <v/>
      </c>
    </row>
    <row r="12">
      <c r="A12" s="7" t="inlineStr">
        <is>
          <t>Countdown mode</t>
        </is>
      </c>
      <c r="B12" s="8">
        <f>COUNTIF('Test Cases'!$B$2:$B$363,A12)</f>
        <v/>
      </c>
      <c r="C12" s="8">
        <f>COUNTIFS('Test Cases'!$B$2:$B$363,A12,'Test Cases'!$I$2:$I$363,"Pass")</f>
        <v/>
      </c>
      <c r="D12" s="8">
        <f>COUNTIFS('Test Cases'!$B$2:$B$363,A12,'Test Cases'!$I$2:$I$363,"Fail")</f>
        <v/>
      </c>
      <c r="E12" s="8">
        <f>COUNTIFS('Test Cases'!$B$2:$B$363,A12,'Test Cases'!$I$2:$I$363,"Blocked")</f>
        <v/>
      </c>
      <c r="F12" s="8">
        <f>COUNTIFS('Test Cases'!$B$2:$B$363,A12,'Test Cases'!$I$2:$I$363,"Not Run")</f>
        <v/>
      </c>
      <c r="G12" s="9">
        <f>IF(B12=0,0,C12/B12)</f>
        <v/>
      </c>
    </row>
    <row r="13">
      <c r="A13" s="7" t="inlineStr">
        <is>
          <t>Refill</t>
        </is>
      </c>
      <c r="B13" s="8">
        <f>COUNTIF('Test Cases'!$B$2:$B$363,A13)</f>
        <v/>
      </c>
      <c r="C13" s="8">
        <f>COUNTIFS('Test Cases'!$B$2:$B$363,A13,'Test Cases'!$I$2:$I$363,"Pass")</f>
        <v/>
      </c>
      <c r="D13" s="8">
        <f>COUNTIFS('Test Cases'!$B$2:$B$363,A13,'Test Cases'!$I$2:$I$363,"Fail")</f>
        <v/>
      </c>
      <c r="E13" s="8">
        <f>COUNTIFS('Test Cases'!$B$2:$B$363,A13,'Test Cases'!$I$2:$I$363,"Blocked")</f>
        <v/>
      </c>
      <c r="F13" s="8">
        <f>COUNTIFS('Test Cases'!$B$2:$B$363,A13,'Test Cases'!$I$2:$I$363,"Not Run")</f>
        <v/>
      </c>
      <c r="G13" s="9">
        <f>IF(B13=0,0,C13/B13)</f>
        <v/>
      </c>
    </row>
    <row r="14">
      <c r="A14" s="7" t="inlineStr">
        <is>
          <t>Protections</t>
        </is>
      </c>
      <c r="B14" s="8">
        <f>COUNTIF('Test Cases'!$B$2:$B$363,A14)</f>
        <v/>
      </c>
      <c r="C14" s="8">
        <f>COUNTIFS('Test Cases'!$B$2:$B$363,A14,'Test Cases'!$I$2:$I$363,"Pass")</f>
        <v/>
      </c>
      <c r="D14" s="8">
        <f>COUNTIFS('Test Cases'!$B$2:$B$363,A14,'Test Cases'!$I$2:$I$363,"Fail")</f>
        <v/>
      </c>
      <c r="E14" s="8">
        <f>COUNTIFS('Test Cases'!$B$2:$B$363,A14,'Test Cases'!$I$2:$I$363,"Blocked")</f>
        <v/>
      </c>
      <c r="F14" s="8">
        <f>COUNTIFS('Test Cases'!$B$2:$B$363,A14,'Test Cases'!$I$2:$I$363,"Not Run")</f>
        <v/>
      </c>
      <c r="G14" s="9">
        <f>IF(B14=0,0,C14/B14)</f>
        <v/>
      </c>
    </row>
    <row r="15">
      <c r="A15" s="7" t="inlineStr">
        <is>
          <t>Power restore</t>
        </is>
      </c>
      <c r="B15" s="8">
        <f>COUNTIF('Test Cases'!$B$2:$B$363,A15)</f>
        <v/>
      </c>
      <c r="C15" s="8">
        <f>COUNTIFS('Test Cases'!$B$2:$B$363,A15,'Test Cases'!$I$2:$I$363,"Pass")</f>
        <v/>
      </c>
      <c r="D15" s="8">
        <f>COUNTIFS('Test Cases'!$B$2:$B$363,A15,'Test Cases'!$I$2:$I$363,"Fail")</f>
        <v/>
      </c>
      <c r="E15" s="8">
        <f>COUNTIFS('Test Cases'!$B$2:$B$363,A15,'Test Cases'!$I$2:$I$363,"Blocked")</f>
        <v/>
      </c>
      <c r="F15" s="8">
        <f>COUNTIFS('Test Cases'!$B$2:$B$363,A15,'Test Cases'!$I$2:$I$363,"Not Run")</f>
        <v/>
      </c>
      <c r="G15" s="9">
        <f>IF(B15=0,0,C15/B15)</f>
        <v/>
      </c>
    </row>
    <row r="16">
      <c r="A16" s="7" t="inlineStr">
        <is>
          <t>Buzzer</t>
        </is>
      </c>
      <c r="B16" s="8">
        <f>COUNTIF('Test Cases'!$B$2:$B$363,A16)</f>
        <v/>
      </c>
      <c r="C16" s="8">
        <f>COUNTIFS('Test Cases'!$B$2:$B$363,A16,'Test Cases'!$I$2:$I$363,"Pass")</f>
        <v/>
      </c>
      <c r="D16" s="8">
        <f>COUNTIFS('Test Cases'!$B$2:$B$363,A16,'Test Cases'!$I$2:$I$363,"Fail")</f>
        <v/>
      </c>
      <c r="E16" s="8">
        <f>COUNTIFS('Test Cases'!$B$2:$B$363,A16,'Test Cases'!$I$2:$I$363,"Blocked")</f>
        <v/>
      </c>
      <c r="F16" s="8">
        <f>COUNTIFS('Test Cases'!$B$2:$B$363,A16,'Test Cases'!$I$2:$I$363,"Not Run")</f>
        <v/>
      </c>
      <c r="G16" s="9">
        <f>IF(B16=0,0,C16/B16)</f>
        <v/>
      </c>
    </row>
    <row r="17">
      <c r="A17" s="7" t="inlineStr">
        <is>
          <t>Display</t>
        </is>
      </c>
      <c r="B17" s="8">
        <f>COUNTIF('Test Cases'!$B$2:$B$363,A17)</f>
        <v/>
      </c>
      <c r="C17" s="8">
        <f>COUNTIFS('Test Cases'!$B$2:$B$363,A17,'Test Cases'!$I$2:$I$363,"Pass")</f>
        <v/>
      </c>
      <c r="D17" s="8">
        <f>COUNTIFS('Test Cases'!$B$2:$B$363,A17,'Test Cases'!$I$2:$I$363,"Fail")</f>
        <v/>
      </c>
      <c r="E17" s="8">
        <f>COUNTIFS('Test Cases'!$B$2:$B$363,A17,'Test Cases'!$I$2:$I$363,"Blocked")</f>
        <v/>
      </c>
      <c r="F17" s="8">
        <f>COUNTIFS('Test Cases'!$B$2:$B$363,A17,'Test Cases'!$I$2:$I$363,"Not Run")</f>
        <v/>
      </c>
      <c r="G17" s="9">
        <f>IF(B17=0,0,C17/B17)</f>
        <v/>
      </c>
    </row>
    <row r="18">
      <c r="A18" s="7" t="inlineStr">
        <is>
          <t>Factory reset</t>
        </is>
      </c>
      <c r="B18" s="8">
        <f>COUNTIF('Test Cases'!$B$2:$B$363,A18)</f>
        <v/>
      </c>
      <c r="C18" s="8">
        <f>COUNTIFS('Test Cases'!$B$2:$B$363,A18,'Test Cases'!$I$2:$I$363,"Pass")</f>
        <v/>
      </c>
      <c r="D18" s="8">
        <f>COUNTIFS('Test Cases'!$B$2:$B$363,A18,'Test Cases'!$I$2:$I$363,"Fail")</f>
        <v/>
      </c>
      <c r="E18" s="8">
        <f>COUNTIFS('Test Cases'!$B$2:$B$363,A18,'Test Cases'!$I$2:$I$363,"Blocked")</f>
        <v/>
      </c>
      <c r="F18" s="8">
        <f>COUNTIFS('Test Cases'!$B$2:$B$363,A18,'Test Cases'!$I$2:$I$363,"Not Run")</f>
        <v/>
      </c>
      <c r="G18" s="9">
        <f>IF(B18=0,0,C18/B18)</f>
        <v/>
      </c>
    </row>
    <row r="19">
      <c r="A19" s="7" t="inlineStr">
        <is>
          <t>Web app (ESP-01)</t>
        </is>
      </c>
      <c r="B19" s="8">
        <f>COUNTIF('Test Cases'!$B$2:$B$363,A19)</f>
        <v/>
      </c>
      <c r="C19" s="8">
        <f>COUNTIFS('Test Cases'!$B$2:$B$363,A19,'Test Cases'!$I$2:$I$363,"Pass")</f>
        <v/>
      </c>
      <c r="D19" s="8">
        <f>COUNTIFS('Test Cases'!$B$2:$B$363,A19,'Test Cases'!$I$2:$I$363,"Fail")</f>
        <v/>
      </c>
      <c r="E19" s="8">
        <f>COUNTIFS('Test Cases'!$B$2:$B$363,A19,'Test Cases'!$I$2:$I$363,"Blocked")</f>
        <v/>
      </c>
      <c r="F19" s="8">
        <f>COUNTIFS('Test Cases'!$B$2:$B$363,A19,'Test Cases'!$I$2:$I$363,"Not Run")</f>
        <v/>
      </c>
      <c r="G19" s="9">
        <f>IF(B19=0,0,C19/B19)</f>
        <v/>
      </c>
    </row>
    <row r="20">
      <c r="A20" s="10" t="inlineStr">
        <is>
          <t>Total</t>
        </is>
      </c>
      <c r="B20" s="10">
        <f>SUM(B5:B19)</f>
        <v/>
      </c>
      <c r="C20" s="10">
        <f>SUM(C5:C19)</f>
        <v/>
      </c>
      <c r="D20" s="10">
        <f>SUM(D5:D19)</f>
        <v/>
      </c>
      <c r="E20" s="10">
        <f>SUM(E5:E19)</f>
        <v/>
      </c>
      <c r="F20" s="10">
        <f>SUM(F5:F19)</f>
        <v/>
      </c>
      <c r="G20" s="11">
        <f>IF(B20=0,0,C20/B20)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80" customWidth="1" min="3" max="3"/>
    <col width="12" customWidth="1" min="4" max="4"/>
    <col width="40" customWidth="1" min="5" max="5"/>
  </cols>
  <sheetData>
    <row r="1" ht="30" customHeight="1">
      <c r="A1" s="6" t="inlineStr">
        <is>
          <t>Rule ID</t>
        </is>
      </c>
      <c r="B1" s="6" t="inlineStr">
        <is>
          <t>Module</t>
        </is>
      </c>
      <c r="C1" s="6" t="inlineStr">
        <is>
          <t>Rule</t>
        </is>
      </c>
      <c r="D1" s="6" t="inlineStr">
        <is>
          <t>Client OK?</t>
        </is>
      </c>
      <c r="E1" s="6" t="inlineStr">
        <is>
          <t>Client Comment</t>
        </is>
      </c>
    </row>
    <row r="2">
      <c r="A2" s="7" t="inlineStr">
        <is>
          <t>GEN-01</t>
        </is>
      </c>
      <c r="B2" s="8" t="inlineStr">
        <is>
          <t>General behaviour</t>
        </is>
      </c>
      <c r="C2" s="8" t="inlineStr">
        <is>
          <t>Tank level comes from the 4 level probes; a new level is accepted only after it is stable for 5 s.</t>
        </is>
      </c>
      <c r="D2" s="12" t="n"/>
      <c r="E2" s="12" t="n"/>
    </row>
    <row r="3">
      <c r="A3" s="7" t="inlineStr">
        <is>
          <t>GEN-02</t>
        </is>
      </c>
      <c r="B3" s="8" t="inlineStr">
        <is>
          <t>General behaviour</t>
        </is>
      </c>
      <c r="C3" s="8" t="inlineStr">
        <is>
          <t>If a wireless tank transmitter is paired, its level is used; during a signal gap the last received level is kept.</t>
        </is>
      </c>
      <c r="D3" s="12" t="n"/>
      <c r="E3" s="12" t="n"/>
    </row>
    <row r="4">
      <c r="A4" s="7" t="inlineStr">
        <is>
          <t>GEN-03</t>
        </is>
      </c>
      <c r="B4" s="8" t="inlineStr">
        <is>
          <t>General behaviour</t>
        </is>
      </c>
      <c r="C4" s="8" t="inlineStr">
        <is>
          <t>After power-up the motor never starts during the first 10 s.</t>
        </is>
      </c>
      <c r="D4" s="12" t="n"/>
      <c r="E4" s="12" t="n"/>
    </row>
    <row r="5">
      <c r="A5" s="7" t="inlineStr">
        <is>
          <t>GEN-04</t>
        </is>
      </c>
      <c r="B5" s="8" t="inlineStr">
        <is>
          <t>General behaviour</t>
        </is>
      </c>
      <c r="C5" s="8" t="inlineStr">
        <is>
          <t>A ground water change (YES/NO) is accepted only after it has lasted 10 s.</t>
        </is>
      </c>
      <c r="D5" s="12" t="n"/>
      <c r="E5" s="12" t="n"/>
    </row>
    <row r="6">
      <c r="A6" s="7" t="inlineStr">
        <is>
          <t>GEN-05</t>
        </is>
      </c>
      <c r="B6" s="8" t="inlineStr">
        <is>
          <t>General behaviour</t>
        </is>
      </c>
      <c r="C6" s="8" t="inlineStr">
        <is>
          <t>All settings (limits, timer slots, twist, buzzer, countdown time, power restore, last mode) are kept through power cuts and firmware updates.</t>
        </is>
      </c>
      <c r="D6" s="12" t="n"/>
      <c r="E6" s="12" t="n"/>
    </row>
    <row r="7">
      <c r="A7" s="7" t="inlineStr">
        <is>
          <t>GEN-06</t>
        </is>
      </c>
      <c r="B7" s="8" t="inlineStr">
        <is>
          <t>General behaviour</t>
        </is>
      </c>
      <c r="C7" s="8" t="inlineStr">
        <is>
          <t>The clock keeps running during a power cut on its backup battery, and is not changed by firmware updates.</t>
        </is>
      </c>
      <c r="D7" s="12" t="n"/>
      <c r="E7" s="12" t="n"/>
    </row>
    <row r="8">
      <c r="A8" s="7" t="inlineStr">
        <is>
          <t>GEN-07</t>
        </is>
      </c>
      <c r="B8" s="8" t="inlineStr">
        <is>
          <t>General behaviour</t>
        </is>
      </c>
      <c r="C8" s="8" t="inlineStr">
        <is>
          <t>Relay 2 gives a 2 s pulse when the motor starts and relay 3 a 2 s pulse when it stops (for an external starter panel).</t>
        </is>
      </c>
      <c r="D8" s="12" t="n"/>
      <c r="E8" s="12" t="n"/>
    </row>
    <row r="9">
      <c r="A9" s="7" t="inlineStr">
        <is>
          <t>BTN-01</t>
        </is>
      </c>
      <c r="B9" s="8" t="inlineStr">
        <is>
          <t>Device buttons</t>
        </is>
      </c>
      <c r="C9" s="8" t="inlineStr">
        <is>
          <t>Button 1 short press: Refill start / stop. Long press: Manual on / off.</t>
        </is>
      </c>
      <c r="D9" s="12" t="n"/>
      <c r="E9" s="12" t="n"/>
    </row>
    <row r="10">
      <c r="A10" s="7" t="inlineStr">
        <is>
          <t>BTN-02</t>
        </is>
      </c>
      <c r="B10" s="8" t="inlineStr">
        <is>
          <t>Device buttons</t>
        </is>
      </c>
      <c r="C10" s="8" t="inlineStr">
        <is>
          <t>Button 2 short press: Auto on / Auto off (motor off). Long press: open the menu.</t>
        </is>
      </c>
      <c r="D10" s="12" t="n"/>
      <c r="E10" s="12" t="n"/>
    </row>
    <row r="11">
      <c r="A11" s="7" t="inlineStr">
        <is>
          <t>BTN-03</t>
        </is>
      </c>
      <c r="B11" s="8" t="inlineStr">
        <is>
          <t>Device buttons</t>
        </is>
      </c>
      <c r="C11" s="8" t="inlineStr">
        <is>
          <t>Button 3 short press: Timer mode on / off. Long press: Semi-Auto on / off.</t>
        </is>
      </c>
      <c r="D11" s="12" t="n"/>
      <c r="E11" s="12" t="n"/>
    </row>
    <row r="12">
      <c r="A12" s="7" t="inlineStr">
        <is>
          <t>BTN-04</t>
        </is>
      </c>
      <c r="B12" s="8" t="inlineStr">
        <is>
          <t>Device buttons</t>
        </is>
      </c>
      <c r="C12" s="8" t="inlineStr">
        <is>
          <t>Button 4 short press: Countdown start (saved time) / stop. Long press: edit the countdown time.</t>
        </is>
      </c>
      <c r="D12" s="12" t="n"/>
      <c r="E12" s="12" t="n"/>
    </row>
    <row r="13">
      <c r="A13" s="7" t="inlineStr">
        <is>
          <t>BTN-05</t>
        </is>
      </c>
      <c r="B13" s="8" t="inlineStr">
        <is>
          <t>Device buttons</t>
        </is>
      </c>
      <c r="C13" s="8" t="inlineStr">
        <is>
          <t>Twist mode is started and stopped from Menu &gt; Twist Mode or from the app.</t>
        </is>
      </c>
      <c r="D13" s="12" t="n"/>
      <c r="E13" s="12" t="n"/>
    </row>
    <row r="14">
      <c r="A14" s="7" t="inlineStr">
        <is>
          <t>BTN-06</t>
        </is>
      </c>
      <c r="B14" s="8" t="inlineStr">
        <is>
          <t>Device buttons</t>
        </is>
      </c>
      <c r="C14" s="8" t="inlineStr">
        <is>
          <t>Quick taps are always registered; in menus and edit screens holding Up/Down repeats the step and speeds up after 3 s. On the dashboard holding a button never acts as repeated short presses.</t>
        </is>
      </c>
      <c r="D14" s="12" t="n"/>
      <c r="E14" s="12" t="n"/>
    </row>
    <row r="15">
      <c r="A15" s="7" t="inlineStr">
        <is>
          <t>AUTO-01</t>
        </is>
      </c>
      <c r="B15" s="8" t="inlineStr">
        <is>
          <t>Auto mode</t>
        </is>
      </c>
      <c r="C15" s="8" t="inlineStr">
        <is>
          <t>Auto is started with button 2 or from the app.</t>
        </is>
      </c>
      <c r="D15" s="12" t="n"/>
      <c r="E15" s="12" t="n"/>
    </row>
    <row r="16">
      <c r="A16" s="7" t="inlineStr">
        <is>
          <t>AUTO-02</t>
        </is>
      </c>
      <c r="B16" s="8" t="inlineStr">
        <is>
          <t>Auto mode</t>
        </is>
      </c>
      <c r="C16" s="8" t="inlineStr">
        <is>
          <t>When no mode is running and the level goes below 50% (25%), the device starts Auto by itself - unless the user switched Auto or Manual off with its button.</t>
        </is>
      </c>
      <c r="D16" s="12" t="n"/>
      <c r="E16" s="12" t="n"/>
    </row>
    <row r="17">
      <c r="A17" s="7" t="inlineStr">
        <is>
          <t>AUTO-03</t>
        </is>
      </c>
      <c r="B17" s="8" t="inlineStr">
        <is>
          <t>Auto mode</t>
        </is>
      </c>
      <c r="C17" s="8" t="inlineStr">
        <is>
          <t>Motor ON when the level goes below 50%. The probes read 0/25/50/75/100%, so the motor starts at 25% (see DEC-08).</t>
        </is>
      </c>
      <c r="D17" s="12" t="n"/>
      <c r="E17" s="12" t="n"/>
    </row>
    <row r="18">
      <c r="A18" s="7" t="inlineStr">
        <is>
          <t>AUTO-05</t>
        </is>
      </c>
      <c r="B18" s="8" t="inlineStr">
        <is>
          <t>Auto mode</t>
        </is>
      </c>
      <c r="C18" s="8" t="inlineStr">
        <is>
          <t>Motor OFF when the tank is full (100%).</t>
        </is>
      </c>
      <c r="D18" s="12" t="n"/>
      <c r="E18" s="12" t="n"/>
    </row>
    <row r="19">
      <c r="A19" s="7" t="inlineStr">
        <is>
          <t>AUTO-06</t>
        </is>
      </c>
      <c r="B19" s="8" t="inlineStr">
        <is>
          <t>Auto mode</t>
        </is>
      </c>
      <c r="C19" s="8" t="inlineStr">
        <is>
          <t>Ground water detected (NO to YES): motor ON if the level is at or below 75%.</t>
        </is>
      </c>
      <c r="D19" s="12" t="n"/>
      <c r="E19" s="12" t="n"/>
    </row>
    <row r="20">
      <c r="A20" s="7" t="inlineStr">
        <is>
          <t>AUTO-07</t>
        </is>
      </c>
      <c r="B20" s="8" t="inlineStr">
        <is>
          <t>Auto mode</t>
        </is>
      </c>
      <c r="C20" s="8" t="inlineStr">
        <is>
          <t>Ground water lost (YES to NO) while running: motor OFF, then waits the testing gap (see DEC-09).</t>
        </is>
      </c>
      <c r="D20" s="12" t="n"/>
      <c r="E20" s="12" t="n"/>
    </row>
    <row r="21">
      <c r="A21" s="7" t="inlineStr">
        <is>
          <t>AUTO-08</t>
        </is>
      </c>
      <c r="B21" s="8" t="inlineStr">
        <is>
          <t>Auto mode</t>
        </is>
      </c>
      <c r="C21" s="8" t="inlineStr">
        <is>
          <t>Dry run enabled: after the dry run time the sensor is checked; water found - motor keeps running until the tank is full.</t>
        </is>
      </c>
      <c r="D21" s="12" t="n"/>
      <c r="E21" s="12" t="n"/>
    </row>
    <row r="22">
      <c r="A22" s="7" t="inlineStr">
        <is>
          <t>AUTO-09</t>
        </is>
      </c>
      <c r="B22" s="8" t="inlineStr">
        <is>
          <t>Auto mode</t>
        </is>
      </c>
      <c r="C22" s="8" t="inlineStr">
        <is>
          <t>Dry run enabled, no water: motor OFF, waits the testing gap, then tries again.</t>
        </is>
      </c>
      <c r="D22" s="12" t="n"/>
      <c r="E22" s="12" t="n"/>
    </row>
    <row r="23">
      <c r="A23" s="7" t="inlineStr">
        <is>
          <t>AUTO-10</t>
        </is>
      </c>
      <c r="B23" s="8" t="inlineStr">
        <is>
          <t>Auto mode</t>
        </is>
      </c>
      <c r="C23" s="8" t="inlineStr">
        <is>
          <t>After the retry count is used up, the motor waits for the next on key (ground water detected, Refill button, or the user).</t>
        </is>
      </c>
      <c r="D23" s="12" t="n"/>
      <c r="E23" s="12" t="n"/>
    </row>
    <row r="24">
      <c r="A24" s="7" t="inlineStr">
        <is>
          <t>AUTO-11</t>
        </is>
      </c>
      <c r="B24" s="8" t="inlineStr">
        <is>
          <t>Auto mode</t>
        </is>
      </c>
      <c r="C24" s="8" t="inlineStr">
        <is>
          <t>Button 2 while Auto is running: motor OFF, screen shows "AUTO M:OFF". This still counts as Auto for power restore.</t>
        </is>
      </c>
      <c r="D24" s="12" t="n"/>
      <c r="E24" s="12" t="n"/>
    </row>
    <row r="25">
      <c r="A25" s="7" t="inlineStr">
        <is>
          <t>AUTO-12</t>
        </is>
      </c>
      <c r="B25" s="8" t="inlineStr">
        <is>
          <t>Auto mode</t>
        </is>
      </c>
      <c r="C25" s="8" t="inlineStr">
        <is>
          <t>Voltage, current and max run protections stop the motor (see Protections).</t>
        </is>
      </c>
      <c r="D25" s="12" t="n"/>
      <c r="E25" s="12" t="n"/>
    </row>
    <row r="26">
      <c r="A26" s="7" t="inlineStr">
        <is>
          <t>AUTO-13</t>
        </is>
      </c>
      <c r="B26" s="8" t="inlineStr">
        <is>
          <t>Auto mode</t>
        </is>
      </c>
      <c r="C26" s="8" t="inlineStr">
        <is>
          <t>Other on keys: Refill button (the tank is filled, then Auto continues), the testing gap ending after a dry run failure, and power restore (see PWR-02).</t>
        </is>
      </c>
      <c r="D26" s="12" t="n"/>
      <c r="E26" s="12" t="n"/>
    </row>
    <row r="27">
      <c r="A27" s="7" t="inlineStr">
        <is>
          <t>MAN-01</t>
        </is>
      </c>
      <c r="B27" s="8" t="inlineStr">
        <is>
          <t>Manual mode</t>
        </is>
      </c>
      <c r="C27" s="8" t="inlineStr">
        <is>
          <t>Manual is started with a long press of button 1 or from the app.</t>
        </is>
      </c>
      <c r="D27" s="12" t="n"/>
      <c r="E27" s="12" t="n"/>
    </row>
    <row r="28">
      <c r="A28" s="7" t="inlineStr">
        <is>
          <t>MAN-02</t>
        </is>
      </c>
      <c r="B28" s="8" t="inlineStr">
        <is>
          <t>Manual mode</t>
        </is>
      </c>
      <c r="C28" s="8" t="inlineStr">
        <is>
          <t>In Manual only the user (button or app) can switch the motor ON.</t>
        </is>
      </c>
      <c r="D28" s="12" t="n"/>
      <c r="E28" s="12" t="n"/>
    </row>
    <row r="29">
      <c r="A29" s="7" t="inlineStr">
        <is>
          <t>MAN-03</t>
        </is>
      </c>
      <c r="B29" s="8" t="inlineStr">
        <is>
          <t>Manual mode</t>
        </is>
      </c>
      <c r="C29" s="8" t="inlineStr">
        <is>
          <t>Motor OFF by: user, voltage fault, over/under current, max run time, power off.</t>
        </is>
      </c>
      <c r="D29" s="12" t="n"/>
      <c r="E29" s="12" t="n"/>
    </row>
    <row r="30">
      <c r="A30" s="7" t="inlineStr">
        <is>
          <t>MAN-04</t>
        </is>
      </c>
      <c r="B30" s="8" t="inlineStr">
        <is>
          <t>Manual mode</t>
        </is>
      </c>
      <c r="C30" s="8" t="inlineStr">
        <is>
          <t>Tank full does NOT stop the motor in Manual; the tank-full buzzer sounds for 30 s if enabled.</t>
        </is>
      </c>
      <c r="D30" s="12" t="n"/>
      <c r="E30" s="12" t="n"/>
    </row>
    <row r="31">
      <c r="A31" s="7" t="inlineStr">
        <is>
          <t>MAN-05</t>
        </is>
      </c>
      <c r="B31" s="8" t="inlineStr">
        <is>
          <t>Manual mode</t>
        </is>
      </c>
      <c r="C31" s="8" t="inlineStr">
        <is>
          <t>Dry run and ground water are not used in Manual.</t>
        </is>
      </c>
      <c r="D31" s="12" t="n"/>
      <c r="E31" s="12" t="n"/>
    </row>
    <row r="32">
      <c r="A32" s="7" t="inlineStr">
        <is>
          <t>MAN-06</t>
        </is>
      </c>
      <c r="B32" s="8" t="inlineStr">
        <is>
          <t>Manual mode</t>
        </is>
      </c>
      <c r="C32" s="8" t="inlineStr">
        <is>
          <t>When a protection (voltage, current, max run) trips, the motor stops and the device stays in Manual - screen shows MANUAL with the motor off. Only the user's press starts it again; Auto does not start by itself.</t>
        </is>
      </c>
      <c r="D32" s="12" t="n"/>
      <c r="E32" s="12" t="n"/>
    </row>
    <row r="33">
      <c r="A33" s="7" t="inlineStr">
        <is>
          <t>TMR-01</t>
        </is>
      </c>
      <c r="B33" s="8" t="inlineStr">
        <is>
          <t>Timer mode</t>
        </is>
      </c>
      <c r="C33" s="8" t="inlineStr">
        <is>
          <t>Up to 5 time slots, each with an ON time, OFF time and its own days of the week; a slot can be switched off.</t>
        </is>
      </c>
      <c r="D33" s="12" t="n"/>
      <c r="E33" s="12" t="n"/>
    </row>
    <row r="34">
      <c r="A34" s="7" t="inlineStr">
        <is>
          <t>TMR-02</t>
        </is>
      </c>
      <c r="B34" s="8" t="inlineStr">
        <is>
          <t>Timer mode</t>
        </is>
      </c>
      <c r="C34" s="8" t="inlineStr">
        <is>
          <t>Timer is started with button 3 or from the app (Save &amp; Start Timer). The Refill button also starts the motor (see Refill).</t>
        </is>
      </c>
      <c r="D34" s="12" t="n"/>
      <c r="E34" s="12" t="n"/>
    </row>
    <row r="35">
      <c r="A35" s="7" t="inlineStr">
        <is>
          <t>TMR-03</t>
        </is>
      </c>
      <c r="B35" s="8" t="inlineStr">
        <is>
          <t>Timer mode</t>
        </is>
      </c>
      <c r="C35" s="8" t="inlineStr">
        <is>
          <t>Motor ON when the clock enters an active slot (right time and right day).</t>
        </is>
      </c>
      <c r="D35" s="12" t="n"/>
      <c r="E35" s="12" t="n"/>
    </row>
    <row r="36">
      <c r="A36" s="7" t="inlineStr">
        <is>
          <t>TMR-04</t>
        </is>
      </c>
      <c r="B36" s="8" t="inlineStr">
        <is>
          <t>Timer mode</t>
        </is>
      </c>
      <c r="C36" s="8" t="inlineStr">
        <is>
          <t>Motor OFF at the slot's OFF time.</t>
        </is>
      </c>
      <c r="D36" s="12" t="n"/>
      <c r="E36" s="12" t="n"/>
    </row>
    <row r="37">
      <c r="A37" s="7" t="inlineStr">
        <is>
          <t>TMR-05</t>
        </is>
      </c>
      <c r="B37" s="8" t="inlineStr">
        <is>
          <t>Timer mode</t>
        </is>
      </c>
      <c r="C37" s="8" t="inlineStr">
        <is>
          <t>Outside every slot the motor stays OFF; ground water and dry run are ignored.</t>
        </is>
      </c>
      <c r="D37" s="12" t="n"/>
      <c r="E37" s="12" t="n"/>
    </row>
    <row r="38">
      <c r="A38" s="7" t="inlineStr">
        <is>
          <t>TMR-06</t>
        </is>
      </c>
      <c r="B38" s="8" t="inlineStr">
        <is>
          <t>Timer mode</t>
        </is>
      </c>
      <c r="C38" s="8" t="inlineStr">
        <is>
          <t>Inside a slot, ground water detected: motor ON.</t>
        </is>
      </c>
      <c r="D38" s="12" t="n"/>
      <c r="E38" s="12" t="n"/>
    </row>
    <row r="39">
      <c r="A39" s="7" t="inlineStr">
        <is>
          <t>TMR-07</t>
        </is>
      </c>
      <c r="B39" s="8" t="inlineStr">
        <is>
          <t>Timer mode</t>
        </is>
      </c>
      <c r="C39" s="8" t="inlineStr">
        <is>
          <t>Inside a slot, ground water lost: motor OFF, then waits the testing gap (see DEC-09).</t>
        </is>
      </c>
      <c r="D39" s="12" t="n"/>
      <c r="E39" s="12" t="n"/>
    </row>
    <row r="40">
      <c r="A40" s="7" t="inlineStr">
        <is>
          <t>TMR-08</t>
        </is>
      </c>
      <c r="B40" s="8" t="inlineStr">
        <is>
          <t>Timer mode</t>
        </is>
      </c>
      <c r="C40" s="8" t="inlineStr">
        <is>
          <t>Dry run enabled: same test / testing gap / retry count as Auto.</t>
        </is>
      </c>
      <c r="D40" s="12" t="n"/>
      <c r="E40" s="12" t="n"/>
    </row>
    <row r="41">
      <c r="A41" s="7" t="inlineStr">
        <is>
          <t>TMR-09</t>
        </is>
      </c>
      <c r="B41" s="8" t="inlineStr">
        <is>
          <t>Timer mode</t>
        </is>
      </c>
      <c r="C41" s="8" t="inlineStr">
        <is>
          <t>While running, if the dry run sensor shows no water, the motor stops and waits the testing gap.</t>
        </is>
      </c>
      <c r="D41" s="12" t="n"/>
      <c r="E41" s="12" t="n"/>
    </row>
    <row r="42">
      <c r="A42" s="7" t="inlineStr">
        <is>
          <t>TMR-10</t>
        </is>
      </c>
      <c r="B42" s="8" t="inlineStr">
        <is>
          <t>Timer mode</t>
        </is>
      </c>
      <c r="C42" s="8" t="inlineStr">
        <is>
          <t>Tank full: motor OFF; it starts again as soon as the level drops below 100% while the slot is active (see decision DEC-01).</t>
        </is>
      </c>
      <c r="D42" s="12" t="n"/>
      <c r="E42" s="12" t="n"/>
    </row>
    <row r="43">
      <c r="A43" s="7" t="inlineStr">
        <is>
          <t>TMR-11</t>
        </is>
      </c>
      <c r="B43" s="8" t="inlineStr">
        <is>
          <t>Timer mode</t>
        </is>
      </c>
      <c r="C43" s="8" t="inlineStr">
        <is>
          <t>A slot switched off in the app or on the device stays off after saving and after a reboot.</t>
        </is>
      </c>
      <c r="D43" s="12" t="n"/>
      <c r="E43" s="12" t="n"/>
    </row>
    <row r="44">
      <c r="A44" s="7" t="inlineStr">
        <is>
          <t>TWS-01</t>
        </is>
      </c>
      <c r="B44" s="8" t="inlineStr">
        <is>
          <t>Twist mode</t>
        </is>
      </c>
      <c r="C44" s="8" t="inlineStr">
        <is>
          <t>Twist is started / stopped from Menu &gt; Twist Mode or from the app. Settings: ON duration, OFF duration (minutes), optional start and stop time.</t>
        </is>
      </c>
      <c r="D44" s="12" t="n"/>
      <c r="E44" s="12" t="n"/>
    </row>
    <row r="45">
      <c r="A45" s="7" t="inlineStr">
        <is>
          <t>TWS-02</t>
        </is>
      </c>
      <c r="B45" s="8" t="inlineStr">
        <is>
          <t>Twist mode</t>
        </is>
      </c>
      <c r="C45" s="8" t="inlineStr">
        <is>
          <t>ON period: motor ON for the ON duration. OFF period: motor OFF for the OFF duration. Then repeats.</t>
        </is>
      </c>
      <c r="D45" s="12" t="n"/>
      <c r="E45" s="12" t="n"/>
    </row>
    <row r="46">
      <c r="A46" s="7" t="inlineStr">
        <is>
          <t>TWS-03</t>
        </is>
      </c>
      <c r="B46" s="8" t="inlineStr">
        <is>
          <t>Twist mode</t>
        </is>
      </c>
      <c r="C46" s="8" t="inlineStr">
        <is>
          <t>Twist runs only between its start and stop time; if both are equal it runs all day.</t>
        </is>
      </c>
      <c r="D46" s="12" t="n"/>
      <c r="E46" s="12" t="n"/>
    </row>
    <row r="47">
      <c r="A47" s="7" t="inlineStr">
        <is>
          <t>TWS-04</t>
        </is>
      </c>
      <c r="B47" s="8" t="inlineStr">
        <is>
          <t>Twist mode</t>
        </is>
      </c>
      <c r="C47" s="8" t="inlineStr">
        <is>
          <t>Dry run enabled: tested at the start of every ON period; water found - motor runs the rest of the ON period.</t>
        </is>
      </c>
      <c r="D47" s="12" t="n"/>
      <c r="E47" s="12" t="n"/>
    </row>
    <row r="48">
      <c r="A48" s="7" t="inlineStr">
        <is>
          <t>TWS-05</t>
        </is>
      </c>
      <c r="B48" s="8" t="inlineStr">
        <is>
          <t>Twist mode</t>
        </is>
      </c>
      <c r="C48" s="8" t="inlineStr">
        <is>
          <t>Dry run enabled, no water: motor OFF for the rest of that ON period; the OFF period follows and the next ON period tests again. Twist does not stop.</t>
        </is>
      </c>
      <c r="D48" s="12" t="n"/>
      <c r="E48" s="12" t="n"/>
    </row>
    <row r="49">
      <c r="A49" s="7" t="inlineStr">
        <is>
          <t>TWS-06</t>
        </is>
      </c>
      <c r="B49" s="8" t="inlineStr">
        <is>
          <t>Twist mode</t>
        </is>
      </c>
      <c r="C49" s="8" t="inlineStr">
        <is>
          <t>If the ON duration is shorter than the dry run time, the check is made at the end of the ON period.</t>
        </is>
      </c>
      <c r="D49" s="12" t="n"/>
      <c r="E49" s="12" t="n"/>
    </row>
    <row r="50">
      <c r="A50" s="7" t="inlineStr">
        <is>
          <t>TWS-07</t>
        </is>
      </c>
      <c r="B50" s="8" t="inlineStr">
        <is>
          <t>Twist mode</t>
        </is>
      </c>
      <c r="C50" s="8" t="inlineStr">
        <is>
          <t>Ground water lost (YES to NO): motor OFF until ground water returns, then a new ON period starts.</t>
        </is>
      </c>
      <c r="D50" s="12" t="n"/>
      <c r="E50" s="12" t="n"/>
    </row>
    <row r="51">
      <c r="A51" s="7" t="inlineStr">
        <is>
          <t>TWS-08</t>
        </is>
      </c>
      <c r="B51" s="8" t="inlineStr">
        <is>
          <t>Twist mode</t>
        </is>
      </c>
      <c r="C51" s="8" t="inlineStr">
        <is>
          <t>If the ground water probe is not fitted (always NO), Twist ignores it.</t>
        </is>
      </c>
      <c r="D51" s="12" t="n"/>
      <c r="E51" s="12" t="n"/>
    </row>
    <row r="52">
      <c r="A52" s="7" t="inlineStr">
        <is>
          <t>TWS-09</t>
        </is>
      </c>
      <c r="B52" s="8" t="inlineStr">
        <is>
          <t>Twist mode</t>
        </is>
      </c>
      <c r="C52" s="8" t="inlineStr">
        <is>
          <t>Tank full: motor OFF; Twist restarts (with an ON period) only when the level is at or below 25%.</t>
        </is>
      </c>
      <c r="D52" s="12" t="n"/>
      <c r="E52" s="12" t="n"/>
    </row>
    <row r="53">
      <c r="A53" s="7" t="inlineStr">
        <is>
          <t>TWS-10</t>
        </is>
      </c>
      <c r="B53" s="8" t="inlineStr">
        <is>
          <t>Twist mode</t>
        </is>
      </c>
      <c r="C53" s="8" t="inlineStr">
        <is>
          <t>Twist settings are saved and kept after a reboot.</t>
        </is>
      </c>
      <c r="D53" s="12" t="n"/>
      <c r="E53" s="12" t="n"/>
    </row>
    <row r="54">
      <c r="A54" s="7" t="inlineStr">
        <is>
          <t>TWS-11</t>
        </is>
      </c>
      <c r="B54" s="8" t="inlineStr">
        <is>
          <t>Twist mode</t>
        </is>
      </c>
      <c r="C54" s="8" t="inlineStr">
        <is>
          <t>Power restore ON: if twist was running at power loss, it continues the same ON or OFF period with the time it had left (saved every minute, so up to 1 min may be repeated) - only inside its start/stop time.</t>
        </is>
      </c>
      <c r="D54" s="12" t="n"/>
      <c r="E54" s="12" t="n"/>
    </row>
    <row r="55">
      <c r="A55" s="7" t="inlineStr">
        <is>
          <t>SEMI-01</t>
        </is>
      </c>
      <c r="B55" s="8" t="inlineStr">
        <is>
          <t>Semi-Auto mode</t>
        </is>
      </c>
      <c r="C55" s="8" t="inlineStr">
        <is>
          <t>Semi-Auto is started with a long press of button 3 or from the app (only the user has the on key); it is a single run to fill the tank.</t>
        </is>
      </c>
      <c r="D55" s="12" t="n"/>
      <c r="E55" s="12" t="n"/>
    </row>
    <row r="56">
      <c r="A56" s="7" t="inlineStr">
        <is>
          <t>SEMI-02</t>
        </is>
      </c>
      <c r="B56" s="8" t="inlineStr">
        <is>
          <t>Semi-Auto mode</t>
        </is>
      </c>
      <c r="C56" s="8" t="inlineStr">
        <is>
          <t>Motor ON when Semi-Auto starts.</t>
        </is>
      </c>
      <c r="D56" s="12" t="n"/>
      <c r="E56" s="12" t="n"/>
    </row>
    <row r="57">
      <c r="A57" s="7" t="inlineStr">
        <is>
          <t>SEMI-03</t>
        </is>
      </c>
      <c r="B57" s="8" t="inlineStr">
        <is>
          <t>Semi-Auto mode</t>
        </is>
      </c>
      <c r="C57" s="8" t="inlineStr">
        <is>
          <t>Off keys: button 3 long press again, tank full (100%). The motor does not restart by itself.</t>
        </is>
      </c>
      <c r="D57" s="12" t="n"/>
      <c r="E57" s="12" t="n"/>
    </row>
    <row r="58">
      <c r="A58" s="7" t="inlineStr">
        <is>
          <t>SEMI-04</t>
        </is>
      </c>
      <c r="B58" s="8" t="inlineStr">
        <is>
          <t>Semi-Auto mode</t>
        </is>
      </c>
      <c r="C58" s="8" t="inlineStr">
        <is>
          <t>Dry run enabled, no water after the dry run time: motor OFF and Semi-Auto ends.</t>
        </is>
      </c>
      <c r="D58" s="12" t="n"/>
      <c r="E58" s="12" t="n"/>
    </row>
    <row r="59">
      <c r="A59" s="7" t="inlineStr">
        <is>
          <t>SEMI-05</t>
        </is>
      </c>
      <c r="B59" s="8" t="inlineStr">
        <is>
          <t>Semi-Auto mode</t>
        </is>
      </c>
      <c r="C59" s="8" t="inlineStr">
        <is>
          <t>Voltage / current faults and max run time stop the motor and end Semi-Auto.</t>
        </is>
      </c>
      <c r="D59" s="12" t="n"/>
      <c r="E59" s="12" t="n"/>
    </row>
    <row r="60">
      <c r="A60" s="7" t="inlineStr">
        <is>
          <t>SEMI-06</t>
        </is>
      </c>
      <c r="B60" s="8" t="inlineStr">
        <is>
          <t>Semi-Auto mode</t>
        </is>
      </c>
      <c r="C60" s="8" t="inlineStr">
        <is>
          <t>Power restore ON: if the Semi-Auto motor was running at power loss, Semi-Auto runs again when power returns.</t>
        </is>
      </c>
      <c r="D60" s="12" t="n"/>
      <c r="E60" s="12" t="n"/>
    </row>
    <row r="61">
      <c r="A61" s="7" t="inlineStr">
        <is>
          <t>CD-01</t>
        </is>
      </c>
      <c r="B61" s="8" t="inlineStr">
        <is>
          <t>Countdown mode</t>
        </is>
      </c>
      <c r="C61" s="8" t="inlineStr">
        <is>
          <t>Countdown runs the motor for a set time (1-180 min, default 10 min); started with button 4 or from the app.</t>
        </is>
      </c>
      <c r="D61" s="12" t="n"/>
      <c r="E61" s="12" t="n"/>
    </row>
    <row r="62">
      <c r="A62" s="7" t="inlineStr">
        <is>
          <t>CD-02</t>
        </is>
      </c>
      <c r="B62" s="8" t="inlineStr">
        <is>
          <t>Countdown mode</t>
        </is>
      </c>
      <c r="C62" s="8" t="inlineStr">
        <is>
          <t>Motor OFF when the time ends or the user stops it (button 4 or app). However the countdown ends, the mode that was running before it (e.g. Auto, Timer, Twist, Manual, or Auto switched off with button 2) continues and is shown on the screen.</t>
        </is>
      </c>
      <c r="D62" s="12" t="n"/>
      <c r="E62" s="12" t="n"/>
    </row>
    <row r="63">
      <c r="A63" s="7" t="inlineStr">
        <is>
          <t>CD-08</t>
        </is>
      </c>
      <c r="B63" s="8" t="inlineStr">
        <is>
          <t>Countdown mode</t>
        </is>
      </c>
      <c r="C63" s="8" t="inlineStr">
        <is>
          <t>While a countdown runs, the screen always shows the time left - also when it was started from the app or resumed after a power cut.</t>
        </is>
      </c>
      <c r="D63" s="12" t="n"/>
      <c r="E63" s="12" t="n"/>
    </row>
    <row r="64">
      <c r="A64" s="7" t="inlineStr">
        <is>
          <t>CD-03</t>
        </is>
      </c>
      <c r="B64" s="8" t="inlineStr">
        <is>
          <t>Countdown mode</t>
        </is>
      </c>
      <c r="C64" s="8" t="inlineStr">
        <is>
          <t>Tank full (100%): the countdown ends and the previous mode continues.</t>
        </is>
      </c>
      <c r="D64" s="12" t="n"/>
      <c r="E64" s="12" t="n"/>
    </row>
    <row r="65">
      <c r="A65" s="7" t="inlineStr">
        <is>
          <t>CD-04</t>
        </is>
      </c>
      <c r="B65" s="8" t="inlineStr">
        <is>
          <t>Countdown mode</t>
        </is>
      </c>
      <c r="C65" s="8" t="inlineStr">
        <is>
          <t>The time is set with a long press of button 4 (Down +1, Up -1, Select). It is saved and used by every later button 4 press; a time set in the app is also saved as the button time.</t>
        </is>
      </c>
      <c r="D65" s="12" t="n"/>
      <c r="E65" s="12" t="n"/>
    </row>
    <row r="66">
      <c r="A66" s="7" t="inlineStr">
        <is>
          <t>CD-05</t>
        </is>
      </c>
      <c r="B66" s="8" t="inlineStr">
        <is>
          <t>Countdown mode</t>
        </is>
      </c>
      <c r="C66" s="8" t="inlineStr">
        <is>
          <t>Dry run enabled, no water after the dry run time: Countdown ends.</t>
        </is>
      </c>
      <c r="D66" s="12" t="n"/>
      <c r="E66" s="12" t="n"/>
    </row>
    <row r="67">
      <c r="A67" s="7" t="inlineStr">
        <is>
          <t>CD-06</t>
        </is>
      </c>
      <c r="B67" s="8" t="inlineStr">
        <is>
          <t>Countdown mode</t>
        </is>
      </c>
      <c r="C67" s="8" t="inlineStr">
        <is>
          <t>Voltage and current faults and max run time end the countdown; the previous mode continues.</t>
        </is>
      </c>
      <c r="D67" s="12" t="n"/>
      <c r="E67" s="12" t="n"/>
    </row>
    <row r="68">
      <c r="A68" s="7" t="inlineStr">
        <is>
          <t>CD-07</t>
        </is>
      </c>
      <c r="B68" s="8" t="inlineStr">
        <is>
          <t>Countdown mode</t>
        </is>
      </c>
      <c r="C68" s="8" t="inlineStr">
        <is>
          <t>Power restore ON: a countdown running at power loss continues with the time it had left (saved every minute, so up to 1 min may be repeated). When it ends, the mode that was running before it continues - this is also kept in memory.</t>
        </is>
      </c>
      <c r="D68" s="12" t="n"/>
      <c r="E68" s="12" t="n"/>
    </row>
    <row r="69">
      <c r="A69" s="7" t="inlineStr">
        <is>
          <t>REF-00</t>
        </is>
      </c>
      <c r="B69" s="8" t="inlineStr">
        <is>
          <t>Refill</t>
        </is>
      </c>
      <c r="C69" s="8" t="inlineStr">
        <is>
          <t>Refill is not a mode: it is a motor start button usable in any mode. The screen shows "Refill" while it runs; afterwards the mode from before continues.</t>
        </is>
      </c>
      <c r="D69" s="12" t="n"/>
      <c r="E69" s="12" t="n"/>
    </row>
    <row r="70">
      <c r="A70" s="7" t="inlineStr">
        <is>
          <t>REF-01</t>
        </is>
      </c>
      <c r="B70" s="8" t="inlineStr">
        <is>
          <t>Refill</t>
        </is>
      </c>
      <c r="C70" s="8" t="inlineStr">
        <is>
          <t>Refill is started with a short press of button 1 or from the app; it is not started if the tank is already full.</t>
        </is>
      </c>
      <c r="D70" s="12" t="n"/>
      <c r="E70" s="12" t="n"/>
    </row>
    <row r="71">
      <c r="A71" s="7" t="inlineStr">
        <is>
          <t>REF-02</t>
        </is>
      </c>
      <c r="B71" s="8" t="inlineStr">
        <is>
          <t>Refill</t>
        </is>
      </c>
      <c r="C71" s="8" t="inlineStr">
        <is>
          <t>Tank full: Refill ends and the previous mode (e.g. Auto) continues.</t>
        </is>
      </c>
      <c r="D71" s="12" t="n"/>
      <c r="E71" s="12" t="n"/>
    </row>
    <row r="72">
      <c r="A72" s="7" t="inlineStr">
        <is>
          <t>REF-03</t>
        </is>
      </c>
      <c r="B72" s="8" t="inlineStr">
        <is>
          <t>Refill</t>
        </is>
      </c>
      <c r="C72" s="8" t="inlineStr">
        <is>
          <t>Refill is stopped by the user (button 1) and by max run time; the previous mode continues.</t>
        </is>
      </c>
      <c r="D72" s="12" t="n"/>
      <c r="E72" s="12" t="n"/>
    </row>
    <row r="73">
      <c r="A73" s="7" t="inlineStr">
        <is>
          <t>REF-04</t>
        </is>
      </c>
      <c r="B73" s="8" t="inlineStr">
        <is>
          <t>Refill</t>
        </is>
      </c>
      <c r="C73" s="8" t="inlineStr">
        <is>
          <t>Dry run enabled, no water: Refill ends and the previous mode continues.</t>
        </is>
      </c>
      <c r="D73" s="12" t="n"/>
      <c r="E73" s="12" t="n"/>
    </row>
    <row r="74">
      <c r="A74" s="7" t="inlineStr">
        <is>
          <t>REF-05</t>
        </is>
      </c>
      <c r="B74" s="8" t="inlineStr">
        <is>
          <t>Refill</t>
        </is>
      </c>
      <c r="C74" s="8" t="inlineStr">
        <is>
          <t>Voltage / current fault: Refill ends and the previous mode continues.</t>
        </is>
      </c>
      <c r="D74" s="12" t="n"/>
      <c r="E74" s="12" t="n"/>
    </row>
    <row r="75">
      <c r="A75" s="7" t="inlineStr">
        <is>
          <t>REF-06</t>
        </is>
      </c>
      <c r="B75" s="8" t="inlineStr">
        <is>
          <t>Refill</t>
        </is>
      </c>
      <c r="C75" s="8" t="inlineStr">
        <is>
          <t>Power cut during Refill: after power returns the device is in the mode from before Refill; that mode's power restore rule applies (see DEC-11).</t>
        </is>
      </c>
      <c r="D75" s="12" t="n"/>
      <c r="E75" s="12" t="n"/>
    </row>
    <row r="76">
      <c r="A76" s="7" t="inlineStr">
        <is>
          <t>PRT-01</t>
        </is>
      </c>
      <c r="B76" s="8" t="inlineStr">
        <is>
          <t>Protections</t>
        </is>
      </c>
      <c r="C76" s="8" t="inlineStr">
        <is>
          <t>Low / high voltage (default 180 V / 280 V): voltage outside the limits for 3 s stops the motor; it is checked all the time, so a bad supply also prevents a start. Recovers after 10 s back in range (Manual stays off until the user starts it).</t>
        </is>
      </c>
      <c r="D76" s="12" t="n"/>
      <c r="E76" s="12" t="n"/>
    </row>
    <row r="77">
      <c r="A77" s="7" t="inlineStr">
        <is>
          <t>PRT-02</t>
        </is>
      </c>
      <c r="B77" s="8" t="inlineStr">
        <is>
          <t>Protections</t>
        </is>
      </c>
      <c r="C77" s="8" t="inlineStr">
        <is>
          <t>Over-load current (default 25 A): above the limit for 3 s stops the motor; the first 3 s after a start are ignored. Auto, Timer and Twist may restart after the testing gap.</t>
        </is>
      </c>
      <c r="D77" s="12" t="n"/>
      <c r="E77" s="12" t="n"/>
    </row>
    <row r="78">
      <c r="A78" s="7" t="inlineStr">
        <is>
          <t>PRT-03</t>
        </is>
      </c>
      <c r="B78" s="8" t="inlineStr">
        <is>
          <t>Protections</t>
        </is>
      </c>
      <c r="C78" s="8" t="inlineStr">
        <is>
          <t>Under-load current (default off): below the limit for 3 s stops the motor; Auto, Timer and Twist may restart after the testing gap.</t>
        </is>
      </c>
      <c r="D78" s="12" t="n"/>
      <c r="E78" s="12" t="n"/>
    </row>
    <row r="79">
      <c r="A79" s="7" t="inlineStr">
        <is>
          <t>PRT-04</t>
        </is>
      </c>
      <c r="B79" s="8" t="inlineStr">
        <is>
          <t>Protections</t>
        </is>
      </c>
      <c r="C79" s="8" t="inlineStr">
        <is>
          <t>Max run time (default 150 min) applies in every mode: after running this long the motor stops. Refill and Countdown end (previous mode continues), Semi-Auto ends, Manual stays shown with the motor off; Auto, Timer and Twist may run again after the testing gap.</t>
        </is>
      </c>
      <c r="D79" s="12" t="n"/>
      <c r="E79" s="12" t="n"/>
    </row>
    <row r="80">
      <c r="A80" s="7" t="inlineStr">
        <is>
          <t>PRT-05</t>
        </is>
      </c>
      <c r="B80" s="8" t="inlineStr">
        <is>
          <t>Protections</t>
        </is>
      </c>
      <c r="C80" s="8" t="inlineStr">
        <is>
          <t>A limit of 0 (or switched off in the app) disables that protection.</t>
        </is>
      </c>
      <c r="D80" s="12" t="n"/>
      <c r="E80" s="12" t="n"/>
    </row>
    <row r="81">
      <c r="A81" s="7" t="inlineStr">
        <is>
          <t>PRT-06</t>
        </is>
      </c>
      <c r="B81" s="8" t="inlineStr">
        <is>
          <t>Protections</t>
        </is>
      </c>
      <c r="C81" s="8" t="inlineStr">
        <is>
          <t>Voltage and current can be calibrated from the app against a meter reading; with no load the current shows 0.0 A.</t>
        </is>
      </c>
      <c r="D81" s="12" t="n"/>
      <c r="E81" s="12" t="n"/>
    </row>
    <row r="82">
      <c r="A82" s="7" t="inlineStr">
        <is>
          <t>PWR-01</t>
        </is>
      </c>
      <c r="B82" s="8" t="inlineStr">
        <is>
          <t>Power restore</t>
        </is>
      </c>
      <c r="C82" s="8" t="inlineStr">
        <is>
          <t>Device Setup &gt; PwrRestore has two values: ON and OFF (factory default OFF).</t>
        </is>
      </c>
      <c r="D82" s="12" t="n"/>
      <c r="E82" s="12" t="n"/>
    </row>
    <row r="83">
      <c r="A83" s="7" t="inlineStr">
        <is>
          <t>PWR-02</t>
        </is>
      </c>
      <c r="B83" s="8" t="inlineStr">
        <is>
          <t>Power restore</t>
        </is>
      </c>
      <c r="C83" s="8" t="inlineStr">
        <is>
          <t>ON, last mode Auto (motor ON, or switched off with button 2): after power returns - Auto, motor ON after 10 s; stays OFF if the tank is full.</t>
        </is>
      </c>
      <c r="D83" s="12" t="n"/>
      <c r="E83" s="12" t="n"/>
    </row>
    <row r="84">
      <c r="A84" s="7" t="inlineStr">
        <is>
          <t>PWR-03</t>
        </is>
      </c>
      <c r="B84" s="8" t="inlineStr">
        <is>
          <t>Power restore</t>
        </is>
      </c>
      <c r="C84" s="8" t="inlineStr">
        <is>
          <t>ON, last mode Manual: Manual, motor OFF (one long press of button 1 starts it).</t>
        </is>
      </c>
      <c r="D84" s="12" t="n"/>
      <c r="E84" s="12" t="n"/>
    </row>
    <row r="85">
      <c r="A85" s="7" t="inlineStr">
        <is>
          <t>PWR-04</t>
        </is>
      </c>
      <c r="B85" s="8" t="inlineStr">
        <is>
          <t>Power restore</t>
        </is>
      </c>
      <c r="C85" s="8" t="inlineStr">
        <is>
          <t>ON, last mode Timer: Timer; the motor starts if the clock is inside an active slot.</t>
        </is>
      </c>
      <c r="D85" s="12" t="n"/>
      <c r="E85" s="12" t="n"/>
    </row>
    <row r="86">
      <c r="A86" s="7" t="inlineStr">
        <is>
          <t>PWR-05</t>
        </is>
      </c>
      <c r="B86" s="8" t="inlineStr">
        <is>
          <t>Power restore</t>
        </is>
      </c>
      <c r="C86" s="8" t="inlineStr">
        <is>
          <t>ON, last mode Twist: continues the same period with the time it had left (see TWS-11).</t>
        </is>
      </c>
      <c r="D86" s="12" t="n"/>
      <c r="E86" s="12" t="n"/>
    </row>
    <row r="87">
      <c r="A87" s="7" t="inlineStr">
        <is>
          <t>PWR-06</t>
        </is>
      </c>
      <c r="B87" s="8" t="inlineStr">
        <is>
          <t>Power restore</t>
        </is>
      </c>
      <c r="C87" s="8" t="inlineStr">
        <is>
          <t>ON, last mode Countdown: continues with the time it had left (see CD-07). Semi-Auto: runs again if its motor was running (SEMI-06). Refill: see REF-06.</t>
        </is>
      </c>
      <c r="D87" s="12" t="n"/>
      <c r="E87" s="12" t="n"/>
    </row>
    <row r="88">
      <c r="A88" s="7" t="inlineStr">
        <is>
          <t>PWR-07</t>
        </is>
      </c>
      <c r="B88" s="8" t="inlineStr">
        <is>
          <t>Power restore</t>
        </is>
      </c>
      <c r="C88" s="8" t="inlineStr">
        <is>
          <t>OFF: after power returns always Manual, motor OFF.</t>
        </is>
      </c>
      <c r="D88" s="12" t="n"/>
      <c r="E88" s="12" t="n"/>
    </row>
    <row r="89">
      <c r="A89" s="7" t="inlineStr">
        <is>
          <t>BUZ-01</t>
        </is>
      </c>
      <c r="B89" s="8" t="inlineStr">
        <is>
          <t>Buzzer</t>
        </is>
      </c>
      <c r="C89" s="8" t="inlineStr">
        <is>
          <t>Pump on: beeps once per second while the motor runs (if enabled).</t>
        </is>
      </c>
      <c r="D89" s="12" t="n"/>
      <c r="E89" s="12" t="n"/>
    </row>
    <row r="90">
      <c r="A90" s="7" t="inlineStr">
        <is>
          <t>BUZ-02</t>
        </is>
      </c>
      <c r="B90" s="8" t="inlineStr">
        <is>
          <t>Buzzer</t>
        </is>
      </c>
      <c r="C90" s="8" t="inlineStr">
        <is>
          <t>Tank full: buzzer for 30 s (if enabled).</t>
        </is>
      </c>
      <c r="D90" s="12" t="n"/>
      <c r="E90" s="12" t="n"/>
    </row>
    <row r="91">
      <c r="A91" s="7" t="inlineStr">
        <is>
          <t>BUZ-03</t>
        </is>
      </c>
      <c r="B91" s="8" t="inlineStr">
        <is>
          <t>Buzzer</t>
        </is>
      </c>
      <c r="C91" s="8" t="inlineStr">
        <is>
          <t>Tank empty (level reaches 0%): buzzer for 15 s (if enabled).</t>
        </is>
      </c>
      <c r="D91" s="12" t="n"/>
      <c r="E91" s="12" t="n"/>
    </row>
    <row r="92">
      <c r="A92" s="7" t="inlineStr">
        <is>
          <t>BUZ-04</t>
        </is>
      </c>
      <c r="B92" s="8" t="inlineStr">
        <is>
          <t>Buzzer</t>
        </is>
      </c>
      <c r="C92" s="8" t="inlineStr">
        <is>
          <t>Each buzzer can be switched on/off separately; all are off by default.</t>
        </is>
      </c>
      <c r="D92" s="12" t="n"/>
      <c r="E92" s="12" t="n"/>
    </row>
    <row r="93">
      <c r="A93" s="7" t="inlineStr">
        <is>
          <t>DSP-01</t>
        </is>
      </c>
      <c r="B93" s="8" t="inlineStr">
        <is>
          <t>Display</t>
        </is>
      </c>
      <c r="C93" s="8" t="inlineStr">
        <is>
          <t>Line 1: mode, motor state and level, e.g. "AUTO   M:ON  50%".</t>
        </is>
      </c>
      <c r="D93" s="12" t="n"/>
      <c r="E93" s="12" t="n"/>
    </row>
    <row r="94">
      <c r="A94" s="7" t="inlineStr">
        <is>
          <t>DSP-02</t>
        </is>
      </c>
      <c r="B94" s="8" t="inlineStr">
        <is>
          <t>Display</t>
        </is>
      </c>
      <c r="C94" s="8" t="inlineStr">
        <is>
          <t>Line 2: G.W:YES/NO, "DRY" when the dry run sensor shows no water, and the time; "TANK FULL" when full.</t>
        </is>
      </c>
      <c r="D94" s="12" t="n"/>
      <c r="E94" s="12" t="n"/>
    </row>
    <row r="95">
      <c r="A95" s="7" t="inlineStr">
        <is>
          <t>DSP-03</t>
        </is>
      </c>
      <c r="B95" s="8" t="inlineStr">
        <is>
          <t>Display</t>
        </is>
      </c>
      <c r="C95" s="8" t="inlineStr">
        <is>
          <t>Page 2: voltage, current and day, or the active fault (voltage / overload / underload error).</t>
        </is>
      </c>
      <c r="D95" s="12" t="n"/>
      <c r="E95" s="12" t="n"/>
    </row>
    <row r="96">
      <c r="A96" s="7" t="inlineStr">
        <is>
          <t>FAC-01</t>
        </is>
      </c>
      <c r="B96" s="8" t="inlineStr">
        <is>
          <t>Factory reset</t>
        </is>
      </c>
      <c r="C96" s="8" t="inlineStr">
        <is>
          <t>Factory reset (menu or app) sets: dry run disabled (2 min), testing gap 30 min, max run 150 min, retry count 5, low/high voltage 180/280 V, over-load 25 A, under-load disabled, power restore OFF, buzzer all off, countdown 10 min, timer slots and twist cleared.</t>
        </is>
      </c>
      <c r="D96" s="12" t="n"/>
      <c r="E96" s="12" t="n"/>
    </row>
    <row r="97">
      <c r="A97" s="7" t="inlineStr">
        <is>
          <t>APP-01</t>
        </is>
      </c>
      <c r="B97" s="8" t="inlineStr">
        <is>
          <t>Web app (ESP-01)</t>
        </is>
      </c>
      <c r="C97" s="8" t="inlineStr">
        <is>
          <t>Every app page (settings, timer, twist, countdown) shows the values currently stored on the device, not app defaults.</t>
        </is>
      </c>
      <c r="D97" s="12" t="n"/>
      <c r="E97" s="12" t="n"/>
    </row>
    <row r="98">
      <c r="A98" s="7" t="inlineStr">
        <is>
          <t>APP-02</t>
        </is>
      </c>
      <c r="B98" s="8" t="inlineStr">
        <is>
          <t>Web app (ESP-01)</t>
        </is>
      </c>
      <c r="C98" s="8" t="inlineStr">
        <is>
          <t>If the device does not answer, the page says so and shows the last known values.</t>
        </is>
      </c>
      <c r="D98" s="12" t="n"/>
      <c r="E98" s="12" t="n"/>
    </row>
    <row r="99">
      <c r="A99" s="7" t="inlineStr">
        <is>
          <t>APP-03</t>
        </is>
      </c>
      <c r="B99" s="8" t="inlineStr">
        <is>
          <t>Web app (ESP-01)</t>
        </is>
      </c>
      <c r="C99" s="8" t="inlineStr">
        <is>
          <t>Apply Settings saves on the device and the page reloads the values the device confirmed.</t>
        </is>
      </c>
      <c r="D99" s="12" t="n"/>
      <c r="E99" s="12" t="n"/>
    </row>
    <row r="100">
      <c r="A100" s="7" t="inlineStr">
        <is>
          <t>APP-04</t>
        </is>
      </c>
      <c r="B100" s="8" t="inlineStr">
        <is>
          <t>Web app (ESP-01)</t>
        </is>
      </c>
      <c r="C100" s="8" t="inlineStr">
        <is>
          <t>Status (motor, level, mode) updates within about 3 s.</t>
        </is>
      </c>
      <c r="D100" s="12" t="n"/>
      <c r="E100" s="12" t="n"/>
    </row>
    <row r="101">
      <c r="A101" s="7" t="inlineStr">
        <is>
          <t>APP-05</t>
        </is>
      </c>
      <c r="B101" s="8" t="inlineStr">
        <is>
          <t>Web app (ESP-01)</t>
        </is>
      </c>
      <c r="C101" s="8" t="inlineStr">
        <is>
          <t>Timer page sends all 5 slots; has Save &amp; Start and Stop Timer.</t>
        </is>
      </c>
      <c r="D101" s="12" t="n"/>
      <c r="E101" s="12" t="n"/>
    </row>
    <row r="102">
      <c r="A102" s="7" t="inlineStr">
        <is>
          <t>APP-06</t>
        </is>
      </c>
      <c r="B102" s="8" t="inlineStr">
        <is>
          <t>Web app (ESP-01)</t>
        </is>
      </c>
      <c r="C102" s="8" t="inlineStr">
        <is>
          <t>Twist page shows saved settings and running state; has Save &amp; Start and Stop Twist; durations in minutes.</t>
        </is>
      </c>
      <c r="D102" s="12" t="n"/>
      <c r="E102" s="12" t="n"/>
    </row>
    <row r="103">
      <c r="A103" s="7" t="inlineStr">
        <is>
          <t>APP-07</t>
        </is>
      </c>
      <c r="B103" s="8" t="inlineStr">
        <is>
          <t>Web app (ESP-01)</t>
        </is>
      </c>
      <c r="C103" s="8" t="inlineStr">
        <is>
          <t>Countdown page shows a countdown that is already running on the device.</t>
        </is>
      </c>
      <c r="D103" s="12" t="n"/>
      <c r="E103" s="12" t="n"/>
    </row>
    <row r="104">
      <c r="A104" s="7" t="inlineStr">
        <is>
          <t>APP-08</t>
        </is>
      </c>
      <c r="B104" s="8" t="inlineStr">
        <is>
          <t>Web app (ESP-01)</t>
        </is>
      </c>
      <c r="C104" s="8" t="inlineStr">
        <is>
          <t>Settings page has separate buzzer switches (pump on, tank full, tank empty), power restore ON/OFF and factory reset.</t>
        </is>
      </c>
      <c r="D104" s="12" t="n"/>
      <c r="E104" s="12" t="n"/>
    </row>
  </sheetData>
  <autoFilter ref="A1:E104"/>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type="list">
      <formula1>"Yes,No,Change"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M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0" customWidth="1" min="3" max="3"/>
    <col width="36" customWidth="1" min="4" max="4"/>
    <col width="28" customWidth="1" min="5" max="5"/>
    <col width="30" customWidth="1" min="6" max="6"/>
    <col width="32" customWidth="1" min="7" max="7"/>
    <col width="28" customWidth="1" min="8" max="8"/>
    <col width="11" customWidth="1" min="9" max="9"/>
    <col width="12" customWidth="1" min="10" max="10"/>
    <col width="11" customWidth="1" min="11" max="11"/>
    <col width="28" customWidth="1" min="12" max="12"/>
    <col width="24" customWidth="1" min="13" max="13"/>
  </cols>
  <sheetData>
    <row r="1" ht="30" customHeight="1">
      <c r="A1" s="6" t="inlineStr">
        <is>
          <t>Test ID</t>
        </is>
      </c>
      <c r="B1" s="6" t="inlineStr">
        <is>
          <t>Module</t>
        </is>
      </c>
      <c r="C1" s="6" t="inlineStr">
        <is>
          <t>Rule ID</t>
        </is>
      </c>
      <c r="D1" s="6" t="inlineStr">
        <is>
          <t>Rule (from Rules sheet)</t>
        </is>
      </c>
      <c r="E1" s="6" t="inlineStr">
        <is>
          <t>Precondition / setup</t>
        </is>
      </c>
      <c r="F1" s="6" t="inlineStr">
        <is>
          <t>Steps / event</t>
        </is>
      </c>
      <c r="G1" s="6" t="inlineStr">
        <is>
          <t>Expected result</t>
        </is>
      </c>
      <c r="H1" s="6" t="inlineStr">
        <is>
          <t>Actual result</t>
        </is>
      </c>
      <c r="I1" s="6" t="inlineStr">
        <is>
          <t>Status</t>
        </is>
      </c>
      <c r="J1" s="6" t="inlineStr">
        <is>
          <t>Tested by</t>
        </is>
      </c>
      <c r="K1" s="6" t="inlineStr">
        <is>
          <t>Date</t>
        </is>
      </c>
      <c r="L1" s="6" t="inlineStr">
        <is>
          <t>Client Comment</t>
        </is>
      </c>
      <c r="M1" s="6" t="inlineStr">
        <is>
          <t>Developer Remark</t>
        </is>
      </c>
    </row>
    <row r="2">
      <c r="A2" s="7" t="inlineStr">
        <is>
          <t>TC-GEN-01</t>
        </is>
      </c>
      <c r="B2" s="8" t="inlineStr">
        <is>
          <t>General behaviour</t>
        </is>
      </c>
      <c r="C2" s="8" t="inlineStr">
        <is>
          <t>GEN-01</t>
        </is>
      </c>
      <c r="D2" s="8">
        <f>IFERROR(INDEX(Rules!$C$2:$C$104,MATCH(C2,Rules!$A$2:$A$104,0)),"")</f>
        <v/>
      </c>
      <c r="E2" s="8" t="inlineStr">
        <is>
          <t>Any mode, level 50%</t>
        </is>
      </c>
      <c r="F2" s="8" t="inlineStr">
        <is>
          <t>Touch the 75% probe for 3 s only, then release</t>
        </is>
      </c>
      <c r="G2" s="8" t="inlineStr">
        <is>
          <t>Level stays 50% (change shorter than 5 s is ignored)</t>
        </is>
      </c>
      <c r="H2" s="12" t="n"/>
      <c r="I2" s="12" t="inlineStr">
        <is>
          <t>Not Run</t>
        </is>
      </c>
      <c r="J2" s="12" t="n"/>
      <c r="K2" s="12" t="n"/>
      <c r="L2" s="12" t="n"/>
      <c r="M2" s="8" t="n"/>
    </row>
    <row r="3">
      <c r="A3" s="7" t="inlineStr">
        <is>
          <t>TC-GEN-02</t>
        </is>
      </c>
      <c r="B3" s="8" t="inlineStr">
        <is>
          <t>General behaviour</t>
        </is>
      </c>
      <c r="C3" s="8" t="inlineStr">
        <is>
          <t>GEN-01</t>
        </is>
      </c>
      <c r="D3" s="8">
        <f>IFERROR(INDEX(Rules!$C$2:$C$104,MATCH(C3,Rules!$A$2:$A$104,0)),"")</f>
        <v/>
      </c>
      <c r="E3" s="8" t="inlineStr">
        <is>
          <t>Any mode, level 50%</t>
        </is>
      </c>
      <c r="F3" s="8" t="inlineStr">
        <is>
          <t>Touch the 75% probe and hold 6 s</t>
        </is>
      </c>
      <c r="G3" s="8" t="inlineStr">
        <is>
          <t>Level changes to 75% after about 5 s</t>
        </is>
      </c>
      <c r="H3" s="12" t="n"/>
      <c r="I3" s="12" t="inlineStr">
        <is>
          <t>Not Run</t>
        </is>
      </c>
      <c r="J3" s="12" t="n"/>
      <c r="K3" s="12" t="n"/>
      <c r="L3" s="12" t="n"/>
      <c r="M3" s="8" t="n"/>
    </row>
    <row r="4">
      <c r="A4" s="7" t="inlineStr">
        <is>
          <t>TC-GEN-03</t>
        </is>
      </c>
      <c r="B4" s="8" t="inlineStr">
        <is>
          <t>General behaviour</t>
        </is>
      </c>
      <c r="C4" s="8" t="inlineStr">
        <is>
          <t>GEN-02</t>
        </is>
      </c>
      <c r="D4" s="8">
        <f>IFERROR(INDEX(Rules!$C$2:$C$104,MATCH(C4,Rules!$A$2:$A$104,0)),"")</f>
        <v/>
      </c>
      <c r="E4" s="8" t="inlineStr">
        <is>
          <t>Wireless transmitter paired and sending</t>
        </is>
      </c>
      <c r="F4" s="8" t="inlineStr">
        <is>
          <t>Switch the transmitter off for 2 min</t>
        </is>
      </c>
      <c r="G4" s="8" t="inlineStr">
        <is>
          <t>Level keeps the last received value; no false TANK FULL</t>
        </is>
      </c>
      <c r="H4" s="12" t="n"/>
      <c r="I4" s="12" t="inlineStr">
        <is>
          <t>Not Run</t>
        </is>
      </c>
      <c r="J4" s="12" t="n"/>
      <c r="K4" s="12" t="n"/>
      <c r="L4" s="12" t="n"/>
      <c r="M4" s="8" t="n"/>
    </row>
    <row r="5">
      <c r="A5" s="7" t="inlineStr">
        <is>
          <t>TC-GEN-04</t>
        </is>
      </c>
      <c r="B5" s="8" t="inlineStr">
        <is>
          <t>General behaviour</t>
        </is>
      </c>
      <c r="C5" s="8" t="inlineStr">
        <is>
          <t>GEN-03</t>
        </is>
      </c>
      <c r="D5" s="8">
        <f>IFERROR(INDEX(Rules!$C$2:$C$104,MATCH(C5,Rules!$A$2:$A$104,0)),"")</f>
        <v/>
      </c>
      <c r="E5" s="8" t="inlineStr">
        <is>
          <t>Power restore ON, Auto, level 25%</t>
        </is>
      </c>
      <c r="F5" s="8" t="inlineStr">
        <is>
          <t>Switch power off and on</t>
        </is>
      </c>
      <c r="G5" s="8" t="inlineStr">
        <is>
          <t>Motor does not start before 10 s; starts after 10 s</t>
        </is>
      </c>
      <c r="H5" s="12" t="n"/>
      <c r="I5" s="12" t="inlineStr">
        <is>
          <t>Not Run</t>
        </is>
      </c>
      <c r="J5" s="12" t="n"/>
      <c r="K5" s="12" t="n"/>
      <c r="L5" s="12" t="n"/>
      <c r="M5" s="8" t="n"/>
    </row>
    <row r="6">
      <c r="A6" s="7" t="inlineStr">
        <is>
          <t>TC-GEN-05</t>
        </is>
      </c>
      <c r="B6" s="8" t="inlineStr">
        <is>
          <t>General behaviour</t>
        </is>
      </c>
      <c r="C6" s="8" t="inlineStr">
        <is>
          <t>GEN-04</t>
        </is>
      </c>
      <c r="D6" s="8">
        <f>IFERROR(INDEX(Rules!$C$2:$C$104,MATCH(C6,Rules!$A$2:$A$104,0)),"")</f>
        <v/>
      </c>
      <c r="E6" s="8" t="inlineStr">
        <is>
          <t>Auto, level 60%, motor off</t>
        </is>
      </c>
      <c r="F6" s="8" t="inlineStr">
        <is>
          <t>Connect G.W for 5 s only, then remove</t>
        </is>
      </c>
      <c r="G6" s="8" t="inlineStr">
        <is>
          <t>No reaction (change shorter than 10 s ignored)</t>
        </is>
      </c>
      <c r="H6" s="12" t="n"/>
      <c r="I6" s="12" t="inlineStr">
        <is>
          <t>Not Run</t>
        </is>
      </c>
      <c r="J6" s="12" t="n"/>
      <c r="K6" s="12" t="n"/>
      <c r="L6" s="12" t="n"/>
      <c r="M6" s="8" t="n"/>
    </row>
    <row r="7">
      <c r="A7" s="7" t="inlineStr">
        <is>
          <t>TC-GEN-06</t>
        </is>
      </c>
      <c r="B7" s="8" t="inlineStr">
        <is>
          <t>General behaviour</t>
        </is>
      </c>
      <c r="C7" s="8" t="inlineStr">
        <is>
          <t>GEN-05</t>
        </is>
      </c>
      <c r="D7" s="8">
        <f>IFERROR(INDEX(Rules!$C$2:$C$104,MATCH(C7,Rules!$A$2:$A$104,0)),"")</f>
        <v/>
      </c>
      <c r="E7" s="8" t="inlineStr">
        <is>
          <t>Change max run, voltages, buzzer, countdown time, a timer slot</t>
        </is>
      </c>
      <c r="F7" s="8" t="inlineStr">
        <is>
          <t>Switch power off and on</t>
        </is>
      </c>
      <c r="G7" s="8" t="inlineStr">
        <is>
          <t>All changed values are still set (device menu and app)</t>
        </is>
      </c>
      <c r="H7" s="12" t="n"/>
      <c r="I7" s="12" t="inlineStr">
        <is>
          <t>Not Run</t>
        </is>
      </c>
      <c r="J7" s="12" t="n"/>
      <c r="K7" s="12" t="n"/>
      <c r="L7" s="12" t="n"/>
      <c r="M7" s="8" t="n"/>
    </row>
    <row r="8">
      <c r="A8" s="7" t="inlineStr">
        <is>
          <t>TC-GEN-07</t>
        </is>
      </c>
      <c r="B8" s="8" t="inlineStr">
        <is>
          <t>General behaviour</t>
        </is>
      </c>
      <c r="C8" s="8" t="inlineStr">
        <is>
          <t>GEN-05</t>
        </is>
      </c>
      <c r="D8" s="8">
        <f>IFERROR(INDEX(Rules!$C$2:$C$104,MATCH(C8,Rules!$A$2:$A$104,0)),"")</f>
        <v/>
      </c>
      <c r="E8" s="8" t="inlineStr">
        <is>
          <t>Settings changed</t>
        </is>
      </c>
      <c r="F8" s="8" t="inlineStr">
        <is>
          <t>Flash new firmware</t>
        </is>
      </c>
      <c r="G8" s="8" t="inlineStr">
        <is>
          <t>All settings kept</t>
        </is>
      </c>
      <c r="H8" s="12" t="n"/>
      <c r="I8" s="12" t="inlineStr">
        <is>
          <t>Not Run</t>
        </is>
      </c>
      <c r="J8" s="12" t="n"/>
      <c r="K8" s="12" t="n"/>
      <c r="L8" s="12" t="n"/>
      <c r="M8" s="8" t="n"/>
    </row>
    <row r="9">
      <c r="A9" s="7" t="inlineStr">
        <is>
          <t>TC-GEN-08</t>
        </is>
      </c>
      <c r="B9" s="8" t="inlineStr">
        <is>
          <t>General behaviour</t>
        </is>
      </c>
      <c r="C9" s="8" t="inlineStr">
        <is>
          <t>GEN-06</t>
        </is>
      </c>
      <c r="D9" s="8">
        <f>IFERROR(INDEX(Rules!$C$2:$C$104,MATCH(C9,Rules!$A$2:$A$104,0)),"")</f>
        <v/>
      </c>
      <c r="E9" s="8" t="inlineStr">
        <is>
          <t>Clock set correctly</t>
        </is>
      </c>
      <c r="F9" s="8" t="inlineStr">
        <is>
          <t>Power off for 10 min, then on</t>
        </is>
      </c>
      <c r="G9" s="8" t="inlineStr">
        <is>
          <t>Clock shows the correct time and date</t>
        </is>
      </c>
      <c r="H9" s="12" t="n"/>
      <c r="I9" s="12" t="inlineStr">
        <is>
          <t>Not Run</t>
        </is>
      </c>
      <c r="J9" s="12" t="n"/>
      <c r="K9" s="12" t="n"/>
      <c r="L9" s="12" t="n"/>
      <c r="M9" s="8" t="n"/>
    </row>
    <row r="10">
      <c r="A10" s="7" t="inlineStr">
        <is>
          <t>TC-GEN-09</t>
        </is>
      </c>
      <c r="B10" s="8" t="inlineStr">
        <is>
          <t>General behaviour</t>
        </is>
      </c>
      <c r="C10" s="8" t="inlineStr">
        <is>
          <t>GEN-07</t>
        </is>
      </c>
      <c r="D10" s="8">
        <f>IFERROR(INDEX(Rules!$C$2:$C$104,MATCH(C10,Rules!$A$2:$A$104,0)),"")</f>
        <v/>
      </c>
      <c r="E10" s="8" t="inlineStr">
        <is>
          <t>Starter panel (or meter) on relay 2 and 3</t>
        </is>
      </c>
      <c r="F10" s="8" t="inlineStr">
        <is>
          <t>Start the motor, then stop it</t>
        </is>
      </c>
      <c r="G10" s="8" t="inlineStr">
        <is>
          <t>Relay 2 closes 2 s at start; relay 3 closes 2 s at stop</t>
        </is>
      </c>
      <c r="H10" s="12" t="n"/>
      <c r="I10" s="12" t="inlineStr">
        <is>
          <t>Not Run</t>
        </is>
      </c>
      <c r="J10" s="12" t="n"/>
      <c r="K10" s="12" t="n"/>
      <c r="L10" s="12" t="n"/>
      <c r="M10" s="8" t="n"/>
    </row>
    <row r="11">
      <c r="A11" s="7" t="inlineStr">
        <is>
          <t>TC-BTN-01</t>
        </is>
      </c>
      <c r="B11" s="8" t="inlineStr">
        <is>
          <t>Device buttons</t>
        </is>
      </c>
      <c r="C11" s="8" t="inlineStr">
        <is>
          <t>BTN-01</t>
        </is>
      </c>
      <c r="D11" s="8">
        <f>IFERROR(INDEX(Rules!$C$2:$C$104,MATCH(C11,Rules!$A$2:$A$104,0)),"")</f>
        <v/>
      </c>
      <c r="E11" s="8" t="inlineStr">
        <is>
          <t>Dashboard, level 50%</t>
        </is>
      </c>
      <c r="F11" s="8" t="inlineStr">
        <is>
          <t>Short press button 1</t>
        </is>
      </c>
      <c r="G11" s="8" t="inlineStr">
        <is>
          <t>Refill starts, motor ON; press again - Refill stops</t>
        </is>
      </c>
      <c r="H11" s="12" t="n"/>
      <c r="I11" s="12" t="inlineStr">
        <is>
          <t>Not Run</t>
        </is>
      </c>
      <c r="J11" s="12" t="n"/>
      <c r="K11" s="12" t="n"/>
      <c r="L11" s="12" t="n"/>
      <c r="M11" s="8" t="n"/>
    </row>
    <row r="12">
      <c r="A12" s="7" t="inlineStr">
        <is>
          <t>TC-BTN-02</t>
        </is>
      </c>
      <c r="B12" s="8" t="inlineStr">
        <is>
          <t>Device buttons</t>
        </is>
      </c>
      <c r="C12" s="8" t="inlineStr">
        <is>
          <t>BTN-01</t>
        </is>
      </c>
      <c r="D12" s="8">
        <f>IFERROR(INDEX(Rules!$C$2:$C$104,MATCH(C12,Rules!$A$2:$A$104,0)),"")</f>
        <v/>
      </c>
      <c r="E12" s="8" t="inlineStr">
        <is>
          <t>Dashboard</t>
        </is>
      </c>
      <c r="F12" s="8" t="inlineStr">
        <is>
          <t>Hold button 1 for 2 s</t>
        </is>
      </c>
      <c r="G12" s="8" t="inlineStr">
        <is>
          <t>Manual mode, motor ON; hold again - Manual off</t>
        </is>
      </c>
      <c r="H12" s="12" t="n"/>
      <c r="I12" s="12" t="inlineStr">
        <is>
          <t>Not Run</t>
        </is>
      </c>
      <c r="J12" s="12" t="n"/>
      <c r="K12" s="12" t="n"/>
      <c r="L12" s="12" t="n"/>
      <c r="M12" s="8" t="n"/>
    </row>
    <row r="13">
      <c r="A13" s="7" t="inlineStr">
        <is>
          <t>TC-BTN-03</t>
        </is>
      </c>
      <c r="B13" s="8" t="inlineStr">
        <is>
          <t>Device buttons</t>
        </is>
      </c>
      <c r="C13" s="8" t="inlineStr">
        <is>
          <t>BTN-02</t>
        </is>
      </c>
      <c r="D13" s="8">
        <f>IFERROR(INDEX(Rules!$C$2:$C$104,MATCH(C13,Rules!$A$2:$A$104,0)),"")</f>
        <v/>
      </c>
      <c r="E13" s="8" t="inlineStr">
        <is>
          <t>Dashboard</t>
        </is>
      </c>
      <c r="F13" s="8" t="inlineStr">
        <is>
          <t>Short press button 2</t>
        </is>
      </c>
      <c r="G13" s="8" t="inlineStr">
        <is>
          <t>Auto on; press again - motor off, screen AUTO M:OFF</t>
        </is>
      </c>
      <c r="H13" s="12" t="n"/>
      <c r="I13" s="12" t="inlineStr">
        <is>
          <t>Not Run</t>
        </is>
      </c>
      <c r="J13" s="12" t="n"/>
      <c r="K13" s="12" t="n"/>
      <c r="L13" s="12" t="n"/>
      <c r="M13" s="8" t="n"/>
    </row>
    <row r="14">
      <c r="A14" s="7" t="inlineStr">
        <is>
          <t>TC-BTN-04</t>
        </is>
      </c>
      <c r="B14" s="8" t="inlineStr">
        <is>
          <t>Device buttons</t>
        </is>
      </c>
      <c r="C14" s="8" t="inlineStr">
        <is>
          <t>BTN-02</t>
        </is>
      </c>
      <c r="D14" s="8">
        <f>IFERROR(INDEX(Rules!$C$2:$C$104,MATCH(C14,Rules!$A$2:$A$104,0)),"")</f>
        <v/>
      </c>
      <c r="E14" s="8" t="inlineStr">
        <is>
          <t>Dashboard</t>
        </is>
      </c>
      <c r="F14" s="8" t="inlineStr">
        <is>
          <t>Hold button 2 for 2 s</t>
        </is>
      </c>
      <c r="G14" s="8" t="inlineStr">
        <is>
          <t>Menu opens</t>
        </is>
      </c>
      <c r="H14" s="12" t="n"/>
      <c r="I14" s="12" t="inlineStr">
        <is>
          <t>Not Run</t>
        </is>
      </c>
      <c r="J14" s="12" t="n"/>
      <c r="K14" s="12" t="n"/>
      <c r="L14" s="12" t="n"/>
      <c r="M14" s="8" t="n"/>
    </row>
    <row r="15">
      <c r="A15" s="7" t="inlineStr">
        <is>
          <t>TC-BTN-05</t>
        </is>
      </c>
      <c r="B15" s="8" t="inlineStr">
        <is>
          <t>Device buttons</t>
        </is>
      </c>
      <c r="C15" s="8" t="inlineStr">
        <is>
          <t>BTN-03</t>
        </is>
      </c>
      <c r="D15" s="8">
        <f>IFERROR(INDEX(Rules!$C$2:$C$104,MATCH(C15,Rules!$A$2:$A$104,0)),"")</f>
        <v/>
      </c>
      <c r="E15" s="8" t="inlineStr">
        <is>
          <t>Dashboard</t>
        </is>
      </c>
      <c r="F15" s="8" t="inlineStr">
        <is>
          <t>Short press button 3</t>
        </is>
      </c>
      <c r="G15" s="8" t="inlineStr">
        <is>
          <t>Timer mode on; press again - Timer off</t>
        </is>
      </c>
      <c r="H15" s="12" t="n"/>
      <c r="I15" s="12" t="inlineStr">
        <is>
          <t>Not Run</t>
        </is>
      </c>
      <c r="J15" s="12" t="n"/>
      <c r="K15" s="12" t="n"/>
      <c r="L15" s="12" t="n"/>
      <c r="M15" s="8" t="n"/>
    </row>
    <row r="16">
      <c r="A16" s="7" t="inlineStr">
        <is>
          <t>TC-BTN-06</t>
        </is>
      </c>
      <c r="B16" s="8" t="inlineStr">
        <is>
          <t>Device buttons</t>
        </is>
      </c>
      <c r="C16" s="8" t="inlineStr">
        <is>
          <t>BTN-03</t>
        </is>
      </c>
      <c r="D16" s="8">
        <f>IFERROR(INDEX(Rules!$C$2:$C$104,MATCH(C16,Rules!$A$2:$A$104,0)),"")</f>
        <v/>
      </c>
      <c r="E16" s="8" t="inlineStr">
        <is>
          <t>Dashboard</t>
        </is>
      </c>
      <c r="F16" s="8" t="inlineStr">
        <is>
          <t>Hold button 3 for 2 s</t>
        </is>
      </c>
      <c r="G16" s="8" t="inlineStr">
        <is>
          <t>Semi-Auto starts; hold again - Semi-Auto off</t>
        </is>
      </c>
      <c r="H16" s="12" t="n"/>
      <c r="I16" s="12" t="inlineStr">
        <is>
          <t>Not Run</t>
        </is>
      </c>
      <c r="J16" s="12" t="n"/>
      <c r="K16" s="12" t="n"/>
      <c r="L16" s="12" t="n"/>
      <c r="M16" s="8" t="n"/>
    </row>
    <row r="17">
      <c r="A17" s="7" t="inlineStr">
        <is>
          <t>TC-BTN-07</t>
        </is>
      </c>
      <c r="B17" s="8" t="inlineStr">
        <is>
          <t>Device buttons</t>
        </is>
      </c>
      <c r="C17" s="8" t="inlineStr">
        <is>
          <t>BTN-04</t>
        </is>
      </c>
      <c r="D17" s="8">
        <f>IFERROR(INDEX(Rules!$C$2:$C$104,MATCH(C17,Rules!$A$2:$A$104,0)),"")</f>
        <v/>
      </c>
      <c r="E17" s="8" t="inlineStr">
        <is>
          <t>Dashboard</t>
        </is>
      </c>
      <c r="F17" s="8" t="inlineStr">
        <is>
          <t>Short press button 4</t>
        </is>
      </c>
      <c r="G17" s="8" t="inlineStr">
        <is>
          <t>Countdown starts with the saved time; press again - stops</t>
        </is>
      </c>
      <c r="H17" s="12" t="n"/>
      <c r="I17" s="12" t="inlineStr">
        <is>
          <t>Not Run</t>
        </is>
      </c>
      <c r="J17" s="12" t="n"/>
      <c r="K17" s="12" t="n"/>
      <c r="L17" s="12" t="n"/>
      <c r="M17" s="8" t="n"/>
    </row>
    <row r="18">
      <c r="A18" s="7" t="inlineStr">
        <is>
          <t>TC-BTN-08</t>
        </is>
      </c>
      <c r="B18" s="8" t="inlineStr">
        <is>
          <t>Device buttons</t>
        </is>
      </c>
      <c r="C18" s="8" t="inlineStr">
        <is>
          <t>BTN-04</t>
        </is>
      </c>
      <c r="D18" s="8">
        <f>IFERROR(INDEX(Rules!$C$2:$C$104,MATCH(C18,Rules!$A$2:$A$104,0)),"")</f>
        <v/>
      </c>
      <c r="E18" s="8" t="inlineStr">
        <is>
          <t>Dashboard</t>
        </is>
      </c>
      <c r="F18" s="8" t="inlineStr">
        <is>
          <t>Hold button 4 for 2 s</t>
        </is>
      </c>
      <c r="G18" s="8" t="inlineStr">
        <is>
          <t>Countdown edit screen opens (countdown is NOT started/stopped while holding)</t>
        </is>
      </c>
      <c r="H18" s="12" t="n"/>
      <c r="I18" s="12" t="inlineStr">
        <is>
          <t>Not Run</t>
        </is>
      </c>
      <c r="J18" s="12" t="n"/>
      <c r="K18" s="12" t="n"/>
      <c r="L18" s="12" t="n"/>
      <c r="M18" s="8" t="n"/>
    </row>
    <row r="19">
      <c r="A19" s="7" t="inlineStr">
        <is>
          <t>TC-BTN-09</t>
        </is>
      </c>
      <c r="B19" s="8" t="inlineStr">
        <is>
          <t>Device buttons</t>
        </is>
      </c>
      <c r="C19" s="8" t="inlineStr">
        <is>
          <t>BTN-05</t>
        </is>
      </c>
      <c r="D19" s="8">
        <f>IFERROR(INDEX(Rules!$C$2:$C$104,MATCH(C19,Rules!$A$2:$A$104,0)),"")</f>
        <v/>
      </c>
      <c r="E19" s="8" t="inlineStr">
        <is>
          <t>Menu</t>
        </is>
      </c>
      <c r="F19" s="8" t="inlineStr">
        <is>
          <t>Menu &gt; Twist Mode &gt; Select</t>
        </is>
      </c>
      <c r="G19" s="8" t="inlineStr">
        <is>
          <t>Twist starts; repeat - Twist stops</t>
        </is>
      </c>
      <c r="H19" s="12" t="n"/>
      <c r="I19" s="12" t="inlineStr">
        <is>
          <t>Not Run</t>
        </is>
      </c>
      <c r="J19" s="12" t="n"/>
      <c r="K19" s="12" t="n"/>
      <c r="L19" s="12" t="n"/>
      <c r="M19" s="8" t="n"/>
    </row>
    <row r="20">
      <c r="A20" s="7" t="inlineStr">
        <is>
          <t>TC-BTN-10</t>
        </is>
      </c>
      <c r="B20" s="8" t="inlineStr">
        <is>
          <t>Device buttons</t>
        </is>
      </c>
      <c r="C20" s="8" t="inlineStr">
        <is>
          <t>BTN-06</t>
        </is>
      </c>
      <c r="D20" s="8">
        <f>IFERROR(INDEX(Rules!$C$2:$C$104,MATCH(C20,Rules!$A$2:$A$104,0)),"")</f>
        <v/>
      </c>
      <c r="E20" s="8" t="inlineStr">
        <is>
          <t>Dashboard</t>
        </is>
      </c>
      <c r="F20" s="8" t="inlineStr">
        <is>
          <t>Press each button very quickly (short tap)</t>
        </is>
      </c>
      <c r="G20" s="8" t="inlineStr">
        <is>
          <t>Every tap is registered</t>
        </is>
      </c>
      <c r="H20" s="12" t="n"/>
      <c r="I20" s="12" t="inlineStr">
        <is>
          <t>Not Run</t>
        </is>
      </c>
      <c r="J20" s="12" t="n"/>
      <c r="K20" s="12" t="n"/>
      <c r="L20" s="12" t="n"/>
      <c r="M20" s="8" t="n"/>
    </row>
    <row r="21">
      <c r="A21" s="7" t="inlineStr">
        <is>
          <t>TC-BTN-11</t>
        </is>
      </c>
      <c r="B21" s="8" t="inlineStr">
        <is>
          <t>Device buttons</t>
        </is>
      </c>
      <c r="C21" s="8" t="inlineStr">
        <is>
          <t>BTN-06</t>
        </is>
      </c>
      <c r="D21" s="8">
        <f>IFERROR(INDEX(Rules!$C$2:$C$104,MATCH(C21,Rules!$A$2:$A$104,0)),"")</f>
        <v/>
      </c>
      <c r="E21" s="8" t="inlineStr">
        <is>
          <t>Device Setup &gt; High Volt edit</t>
        </is>
      </c>
      <c r="F21" s="8" t="inlineStr">
        <is>
          <t>Hold Up for 5 s</t>
        </is>
      </c>
      <c r="G21" s="8" t="inlineStr">
        <is>
          <t>Value steps repeatedly and speeds up after 3 s</t>
        </is>
      </c>
      <c r="H21" s="12" t="n"/>
      <c r="I21" s="12" t="inlineStr">
        <is>
          <t>Not Run</t>
        </is>
      </c>
      <c r="J21" s="12" t="n"/>
      <c r="K21" s="12" t="n"/>
      <c r="L21" s="12" t="n"/>
      <c r="M21" s="8" t="n"/>
    </row>
    <row r="22">
      <c r="A22" s="7" t="inlineStr">
        <is>
          <t>TC-AUTO-01</t>
        </is>
      </c>
      <c r="B22" s="8" t="inlineStr">
        <is>
          <t>Auto mode</t>
        </is>
      </c>
      <c r="C22" s="8" t="inlineStr">
        <is>
          <t>AUTO-03</t>
        </is>
      </c>
      <c r="D22" s="8">
        <f>IFERROR(INDEX(Rules!$C$2:$C$104,MATCH(C22,Rules!$A$2:$A$104,0)),"")</f>
        <v/>
      </c>
      <c r="E22" s="8" t="inlineStr">
        <is>
          <t>No mode, level 75%</t>
        </is>
      </c>
      <c r="F22" s="8" t="inlineStr">
        <is>
          <t>Press button 2</t>
        </is>
      </c>
      <c r="G22" s="8" t="inlineStr">
        <is>
          <t>Auto, motor OFF (waits)</t>
        </is>
      </c>
      <c r="H22" s="12" t="n"/>
      <c r="I22" s="12" t="inlineStr">
        <is>
          <t>Not Run</t>
        </is>
      </c>
      <c r="J22" s="12" t="n"/>
      <c r="K22" s="12" t="n"/>
      <c r="L22" s="12" t="n"/>
      <c r="M22" s="8" t="n"/>
    </row>
    <row r="23">
      <c r="A23" s="7" t="inlineStr">
        <is>
          <t>TC-AUTO-02</t>
        </is>
      </c>
      <c r="B23" s="8" t="inlineStr">
        <is>
          <t>Auto mode</t>
        </is>
      </c>
      <c r="C23" s="8" t="inlineStr">
        <is>
          <t>AUTO-05</t>
        </is>
      </c>
      <c r="D23" s="8">
        <f>IFERROR(INDEX(Rules!$C$2:$C$104,MATCH(C23,Rules!$A$2:$A$104,0)),"")</f>
        <v/>
      </c>
      <c r="E23" s="8" t="inlineStr">
        <is>
          <t>Auto running</t>
        </is>
      </c>
      <c r="F23" s="8" t="inlineStr">
        <is>
          <t>Raise level to 100%</t>
        </is>
      </c>
      <c r="G23" s="8" t="inlineStr">
        <is>
          <t>Motor OFF within about 10 s; TANK FULL shown</t>
        </is>
      </c>
      <c r="H23" s="12" t="n"/>
      <c r="I23" s="12" t="inlineStr">
        <is>
          <t>Not Run</t>
        </is>
      </c>
      <c r="J23" s="12" t="n"/>
      <c r="K23" s="12" t="n"/>
      <c r="L23" s="12" t="n"/>
      <c r="M23" s="8" t="n"/>
    </row>
    <row r="24">
      <c r="A24" s="7" t="inlineStr">
        <is>
          <t>TC-AUTO-03</t>
        </is>
      </c>
      <c r="B24" s="8" t="inlineStr">
        <is>
          <t>Auto mode</t>
        </is>
      </c>
      <c r="C24" s="8" t="inlineStr">
        <is>
          <t>AUTO-08</t>
        </is>
      </c>
      <c r="D24" s="8">
        <f>IFERROR(INDEX(Rules!$C$2:$C$104,MATCH(C24,Rules!$A$2:$A$104,0)),"")</f>
        <v/>
      </c>
      <c r="E24" s="8" t="inlineStr">
        <is>
          <t>Dry run ON (2 min), dry sensor in water, level 25%</t>
        </is>
      </c>
      <c r="F24" s="8" t="inlineStr">
        <is>
          <t>Start Auto, wait 3 min</t>
        </is>
      </c>
      <c r="G24" s="8" t="inlineStr">
        <is>
          <t>Motor keeps running until tank full</t>
        </is>
      </c>
      <c r="H24" s="12" t="n"/>
      <c r="I24" s="12" t="inlineStr">
        <is>
          <t>Not Run</t>
        </is>
      </c>
      <c r="J24" s="12" t="n"/>
      <c r="K24" s="12" t="n"/>
      <c r="L24" s="12" t="n"/>
      <c r="M24" s="8" t="n"/>
    </row>
    <row r="25">
      <c r="A25" s="7" t="inlineStr">
        <is>
          <t>TC-AUTO-04</t>
        </is>
      </c>
      <c r="B25" s="8" t="inlineStr">
        <is>
          <t>Auto mode</t>
        </is>
      </c>
      <c r="C25" s="8" t="inlineStr">
        <is>
          <t>AUTO-09</t>
        </is>
      </c>
      <c r="D25" s="8">
        <f>IFERROR(INDEX(Rules!$C$2:$C$104,MATCH(C25,Rules!$A$2:$A$104,0)),"")</f>
        <v/>
      </c>
      <c r="E25" s="8" t="inlineStr">
        <is>
          <t>Dry run ON (2 min), dry sensor dry, testing gap 5 min</t>
        </is>
      </c>
      <c r="F25" s="8" t="inlineStr">
        <is>
          <t>Start Auto</t>
        </is>
      </c>
      <c r="G25" s="8" t="inlineStr">
        <is>
          <t>Motor OFF after 2 min; DRY shown; retries after 5 min</t>
        </is>
      </c>
      <c r="H25" s="12" t="n"/>
      <c r="I25" s="12" t="inlineStr">
        <is>
          <t>Not Run</t>
        </is>
      </c>
      <c r="J25" s="12" t="n"/>
      <c r="K25" s="12" t="n"/>
      <c r="L25" s="12" t="n"/>
      <c r="M25" s="8" t="n"/>
    </row>
    <row r="26">
      <c r="A26" s="7" t="inlineStr">
        <is>
          <t>TC-AUTO-05</t>
        </is>
      </c>
      <c r="B26" s="8" t="inlineStr">
        <is>
          <t>Auto mode</t>
        </is>
      </c>
      <c r="C26" s="8" t="inlineStr">
        <is>
          <t>AUTO-10</t>
        </is>
      </c>
      <c r="D26" s="8">
        <f>IFERROR(INDEX(Rules!$C$2:$C$104,MATCH(C26,Rules!$A$2:$A$104,0)),"")</f>
        <v/>
      </c>
      <c r="E26" s="8" t="inlineStr">
        <is>
          <t>Dry run ON, retry count 2, dry sensor dry</t>
        </is>
      </c>
      <c r="F26" s="8" t="inlineStr">
        <is>
          <t>Start Auto, wait for 2 failed tests</t>
        </is>
      </c>
      <c r="G26" s="8" t="inlineStr">
        <is>
          <t>Motor stays OFF; waits for G.W or user</t>
        </is>
      </c>
      <c r="H26" s="12" t="n"/>
      <c r="I26" s="12" t="inlineStr">
        <is>
          <t>Not Run</t>
        </is>
      </c>
      <c r="J26" s="12" t="n"/>
      <c r="K26" s="12" t="n"/>
      <c r="L26" s="12" t="n"/>
      <c r="M26" s="8" t="n"/>
    </row>
    <row r="27">
      <c r="A27" s="7" t="inlineStr">
        <is>
          <t>TC-AUTO-06</t>
        </is>
      </c>
      <c r="B27" s="8" t="inlineStr">
        <is>
          <t>Auto mode</t>
        </is>
      </c>
      <c r="C27" s="8" t="inlineStr">
        <is>
          <t>AUTO-06</t>
        </is>
      </c>
      <c r="D27" s="8">
        <f>IFERROR(INDEX(Rules!$C$2:$C$104,MATCH(C27,Rules!$A$2:$A$104,0)),"")</f>
        <v/>
      </c>
      <c r="E27" s="8" t="inlineStr">
        <is>
          <t>Auto waiting at 60% (motor off)</t>
        </is>
      </c>
      <c r="F27" s="8" t="inlineStr">
        <is>
          <t>Connect G.W (YES), wait 10 s</t>
        </is>
      </c>
      <c r="G27" s="8" t="inlineStr">
        <is>
          <t>Motor ON</t>
        </is>
      </c>
      <c r="H27" s="12" t="n"/>
      <c r="I27" s="12" t="inlineStr">
        <is>
          <t>Not Run</t>
        </is>
      </c>
      <c r="J27" s="12" t="n"/>
      <c r="K27" s="12" t="n"/>
      <c r="L27" s="12" t="n"/>
      <c r="M27" s="8" t="n"/>
    </row>
    <row r="28">
      <c r="A28" s="7" t="inlineStr">
        <is>
          <t>TC-AUTO-07</t>
        </is>
      </c>
      <c r="B28" s="8" t="inlineStr">
        <is>
          <t>Auto mode</t>
        </is>
      </c>
      <c r="C28" s="8" t="inlineStr">
        <is>
          <t>AUTO-06</t>
        </is>
      </c>
      <c r="D28" s="8">
        <f>IFERROR(INDEX(Rules!$C$2:$C$104,MATCH(C28,Rules!$A$2:$A$104,0)),"")</f>
        <v/>
      </c>
      <c r="E28" s="8" t="inlineStr">
        <is>
          <t>Auto waiting at 100%</t>
        </is>
      </c>
      <c r="F28" s="8" t="inlineStr">
        <is>
          <t>Connect G.W</t>
        </is>
      </c>
      <c r="G28" s="8" t="inlineStr">
        <is>
          <t>Motor stays OFF</t>
        </is>
      </c>
      <c r="H28" s="12" t="n"/>
      <c r="I28" s="12" t="inlineStr">
        <is>
          <t>Not Run</t>
        </is>
      </c>
      <c r="J28" s="12" t="n"/>
      <c r="K28" s="12" t="n"/>
      <c r="L28" s="12" t="n"/>
      <c r="M28" s="8" t="n"/>
    </row>
    <row r="29">
      <c r="A29" s="7" t="inlineStr">
        <is>
          <t>TC-AUTO-08</t>
        </is>
      </c>
      <c r="B29" s="8" t="inlineStr">
        <is>
          <t>Auto mode</t>
        </is>
      </c>
      <c r="C29" s="8" t="inlineStr">
        <is>
          <t>AUTO-07</t>
        </is>
      </c>
      <c r="D29" s="8">
        <f>IFERROR(INDEX(Rules!$C$2:$C$104,MATCH(C29,Rules!$A$2:$A$104,0)),"")</f>
        <v/>
      </c>
      <c r="E29" s="8" t="inlineStr">
        <is>
          <t>Auto running, G.W YES</t>
        </is>
      </c>
      <c r="F29" s="8" t="inlineStr">
        <is>
          <t>Remove G.W, wait 10 s</t>
        </is>
      </c>
      <c r="G29" s="8" t="inlineStr">
        <is>
          <t>Motor OFF; restarts after the testing gap or when G.W returns</t>
        </is>
      </c>
      <c r="H29" s="12" t="n"/>
      <c r="I29" s="12" t="inlineStr">
        <is>
          <t>Not Run</t>
        </is>
      </c>
      <c r="J29" s="12" t="n"/>
      <c r="K29" s="12" t="n"/>
      <c r="L29" s="12" t="n"/>
      <c r="M29" s="8" t="n"/>
    </row>
    <row r="30">
      <c r="A30" s="7" t="inlineStr">
        <is>
          <t>TC-AUTO-09</t>
        </is>
      </c>
      <c r="B30" s="8" t="inlineStr">
        <is>
          <t>Auto mode</t>
        </is>
      </c>
      <c r="C30" s="8" t="inlineStr">
        <is>
          <t>AUTO-07</t>
        </is>
      </c>
      <c r="D30" s="8">
        <f>IFERROR(INDEX(Rules!$C$2:$C$104,MATCH(C30,Rules!$A$2:$A$104,0)),"")</f>
        <v/>
      </c>
      <c r="E30" s="8" t="inlineStr">
        <is>
          <t>Auto stopped by G.W loss</t>
        </is>
      </c>
      <c r="F30" s="8" t="inlineStr">
        <is>
          <t>Reconnect G.W before the testing gap ends</t>
        </is>
      </c>
      <c r="G30" s="8" t="inlineStr">
        <is>
          <t>Motor ON after 10 s</t>
        </is>
      </c>
      <c r="H30" s="12" t="n"/>
      <c r="I30" s="12" t="inlineStr">
        <is>
          <t>Not Run</t>
        </is>
      </c>
      <c r="J30" s="12" t="n"/>
      <c r="K30" s="12" t="n"/>
      <c r="L30" s="12" t="n"/>
      <c r="M30" s="8" t="n"/>
    </row>
    <row r="31">
      <c r="A31" s="7" t="inlineStr">
        <is>
          <t>TC-AUTO-10</t>
        </is>
      </c>
      <c r="B31" s="8" t="inlineStr">
        <is>
          <t>Auto mode</t>
        </is>
      </c>
      <c r="C31" s="8" t="inlineStr">
        <is>
          <t>AUTO-06</t>
        </is>
      </c>
      <c r="D31" s="8">
        <f>IFERROR(INDEX(Rules!$C$2:$C$104,MATCH(C31,Rules!$A$2:$A$104,0)),"")</f>
        <v/>
      </c>
      <c r="E31" s="8" t="inlineStr">
        <is>
          <t>G.W probe not fitted</t>
        </is>
      </c>
      <c r="F31" s="8" t="inlineStr">
        <is>
          <t>Run Auto normally</t>
        </is>
      </c>
      <c r="G31" s="8" t="inlineStr">
        <is>
          <t>Auto works by level only</t>
        </is>
      </c>
      <c r="H31" s="12" t="n"/>
      <c r="I31" s="12" t="inlineStr">
        <is>
          <t>Not Run</t>
        </is>
      </c>
      <c r="J31" s="12" t="n"/>
      <c r="K31" s="12" t="n"/>
      <c r="L31" s="12" t="n"/>
      <c r="M31" s="8" t="n"/>
    </row>
    <row r="32">
      <c r="A32" s="7" t="inlineStr">
        <is>
          <t>TC-AUTO-11</t>
        </is>
      </c>
      <c r="B32" s="8" t="inlineStr">
        <is>
          <t>Auto mode</t>
        </is>
      </c>
      <c r="C32" s="8" t="inlineStr">
        <is>
          <t>AUTO-11</t>
        </is>
      </c>
      <c r="D32" s="8">
        <f>IFERROR(INDEX(Rules!$C$2:$C$104,MATCH(C32,Rules!$A$2:$A$104,0)),"")</f>
        <v/>
      </c>
      <c r="E32" s="8" t="inlineStr">
        <is>
          <t>Auto running</t>
        </is>
      </c>
      <c r="F32" s="8" t="inlineStr">
        <is>
          <t>Press button 2</t>
        </is>
      </c>
      <c r="G32" s="8" t="inlineStr">
        <is>
          <t>Motor OFF, screen AUTO M:OFF</t>
        </is>
      </c>
      <c r="H32" s="12" t="n"/>
      <c r="I32" s="12" t="inlineStr">
        <is>
          <t>Not Run</t>
        </is>
      </c>
      <c r="J32" s="12" t="n"/>
      <c r="K32" s="12" t="n"/>
      <c r="L32" s="12" t="n"/>
      <c r="M32" s="8" t="n"/>
    </row>
    <row r="33">
      <c r="A33" s="7" t="inlineStr">
        <is>
          <t>TC-AUTO-12</t>
        </is>
      </c>
      <c r="B33" s="8" t="inlineStr">
        <is>
          <t>Auto mode</t>
        </is>
      </c>
      <c r="C33" s="8" t="inlineStr">
        <is>
          <t>AUTO-12</t>
        </is>
      </c>
      <c r="D33" s="8">
        <f>IFERROR(INDEX(Rules!$C$2:$C$104,MATCH(C33,Rules!$A$2:$A$104,0)),"")</f>
        <v/>
      </c>
      <c r="E33" s="8" t="inlineStr">
        <is>
          <t>Auto running</t>
        </is>
      </c>
      <c r="F33" s="8" t="inlineStr">
        <is>
          <t>Drop supply below low-voltage limit for 5 s</t>
        </is>
      </c>
      <c r="G33" s="8" t="inlineStr">
        <is>
          <t>Motor OFF, VOLTERR; restarts 10 s after voltage returns</t>
        </is>
      </c>
      <c r="H33" s="12" t="n"/>
      <c r="I33" s="12" t="inlineStr">
        <is>
          <t>Not Run</t>
        </is>
      </c>
      <c r="J33" s="12" t="n"/>
      <c r="K33" s="12" t="n"/>
      <c r="L33" s="12" t="n"/>
      <c r="M33" s="8" t="n"/>
    </row>
    <row r="34">
      <c r="A34" s="7" t="inlineStr">
        <is>
          <t>TC-AUTO-13</t>
        </is>
      </c>
      <c r="B34" s="8" t="inlineStr">
        <is>
          <t>Auto mode</t>
        </is>
      </c>
      <c r="C34" s="8" t="inlineStr">
        <is>
          <t>AUTO-12</t>
        </is>
      </c>
      <c r="D34" s="8">
        <f>IFERROR(INDEX(Rules!$C$2:$C$104,MATCH(C34,Rules!$A$2:$A$104,0)),"")</f>
        <v/>
      </c>
      <c r="E34" s="8" t="inlineStr">
        <is>
          <t>Auto running</t>
        </is>
      </c>
      <c r="F34" s="8" t="inlineStr">
        <is>
          <t>Load above over-load limit</t>
        </is>
      </c>
      <c r="G34" s="8" t="inlineStr">
        <is>
          <t>Motor OFF after 3 s; may restart after the testing gap</t>
        </is>
      </c>
      <c r="H34" s="12" t="n"/>
      <c r="I34" s="12" t="inlineStr">
        <is>
          <t>Not Run</t>
        </is>
      </c>
      <c r="J34" s="12" t="n"/>
      <c r="K34" s="12" t="n"/>
      <c r="L34" s="12" t="n"/>
      <c r="M34" s="8" t="n"/>
    </row>
    <row r="35">
      <c r="A35" s="7" t="inlineStr">
        <is>
          <t>TC-AUTO-14</t>
        </is>
      </c>
      <c r="B35" s="8" t="inlineStr">
        <is>
          <t>Auto mode</t>
        </is>
      </c>
      <c r="C35" s="8" t="inlineStr">
        <is>
          <t>AUTO-12</t>
        </is>
      </c>
      <c r="D35" s="8">
        <f>IFERROR(INDEX(Rules!$C$2:$C$104,MATCH(C35,Rules!$A$2:$A$104,0)),"")</f>
        <v/>
      </c>
      <c r="E35" s="8" t="inlineStr">
        <is>
          <t>Max run 5 min, Auto running</t>
        </is>
      </c>
      <c r="F35" s="8" t="inlineStr">
        <is>
          <t>Let it run 5 min</t>
        </is>
      </c>
      <c r="G35" s="8" t="inlineStr">
        <is>
          <t>Motor OFF; may restart after the testing gap</t>
        </is>
      </c>
      <c r="H35" s="12" t="n"/>
      <c r="I35" s="12" t="inlineStr">
        <is>
          <t>Not Run</t>
        </is>
      </c>
      <c r="J35" s="12" t="n"/>
      <c r="K35" s="12" t="n"/>
      <c r="L35" s="12" t="n"/>
      <c r="M35" s="8" t="n"/>
    </row>
    <row r="36">
      <c r="A36" s="7" t="inlineStr">
        <is>
          <t>TC-AUTO-15</t>
        </is>
      </c>
      <c r="B36" s="8" t="inlineStr">
        <is>
          <t>Auto mode</t>
        </is>
      </c>
      <c r="C36" s="8" t="inlineStr">
        <is>
          <t>AUTO-03</t>
        </is>
      </c>
      <c r="D36" s="8">
        <f>IFERROR(INDEX(Rules!$C$2:$C$104,MATCH(C36,Rules!$A$2:$A$104,0)),"")</f>
        <v/>
      </c>
      <c r="E36" s="8" t="inlineStr">
        <is>
          <t>Example 1 from report: dry run 3 min, gap 15 min, 10:00 start, no water</t>
        </is>
      </c>
      <c r="F36" s="8" t="inlineStr">
        <is>
          <t>At 10:05 connect G.W, keep dry sensor dry</t>
        </is>
      </c>
      <c r="G36" s="8" t="inlineStr">
        <is>
          <t>10:03 OFF; 10:05:10 ON; 10:08 OFF; next try 10:23</t>
        </is>
      </c>
      <c r="H36" s="12" t="n"/>
      <c r="I36" s="12" t="inlineStr">
        <is>
          <t>Not Run</t>
        </is>
      </c>
      <c r="J36" s="12" t="n"/>
      <c r="K36" s="12" t="n"/>
      <c r="L36" s="12" t="n"/>
      <c r="M36" s="8" t="n"/>
    </row>
    <row r="37">
      <c r="A37" s="7" t="inlineStr">
        <is>
          <t>TC-AUTO-16</t>
        </is>
      </c>
      <c r="B37" s="8" t="inlineStr">
        <is>
          <t>Auto mode</t>
        </is>
      </c>
      <c r="C37" s="8" t="inlineStr">
        <is>
          <t>AUTO-07</t>
        </is>
      </c>
      <c r="D37" s="8">
        <f>IFERROR(INDEX(Rules!$C$2:$C$104,MATCH(C37,Rules!$A$2:$A$104,0)),"")</f>
        <v/>
      </c>
      <c r="E37" s="8" t="inlineStr">
        <is>
          <t>Example 2 from report: as above</t>
        </is>
      </c>
      <c r="F37" s="8" t="inlineStr">
        <is>
          <t>At 10:05 connect G.W, at 10:06 remove it</t>
        </is>
      </c>
      <c r="G37" s="8" t="inlineStr">
        <is>
          <t>10:05:10 ON; 10:06:10 OFF; next try 10:21</t>
        </is>
      </c>
      <c r="H37" s="12" t="n"/>
      <c r="I37" s="12" t="inlineStr">
        <is>
          <t>Not Run</t>
        </is>
      </c>
      <c r="J37" s="12" t="n"/>
      <c r="K37" s="12" t="n"/>
      <c r="L37" s="12" t="n"/>
      <c r="M37" s="8" t="n"/>
    </row>
    <row r="38">
      <c r="A38" s="7" t="inlineStr">
        <is>
          <t>TC-AUTO-17</t>
        </is>
      </c>
      <c r="B38" s="8" t="inlineStr">
        <is>
          <t>Auto mode</t>
        </is>
      </c>
      <c r="C38" s="8" t="inlineStr">
        <is>
          <t>AUTO-01</t>
        </is>
      </c>
      <c r="D38" s="8">
        <f>IFERROR(INDEX(Rules!$C$2:$C$104,MATCH(C38,Rules!$A$2:$A$104,0)),"")</f>
        <v/>
      </c>
      <c r="E38" s="8" t="inlineStr">
        <is>
          <t>No mode, level 25%</t>
        </is>
      </c>
      <c r="F38" s="8" t="inlineStr">
        <is>
          <t>Press button 2</t>
        </is>
      </c>
      <c r="G38" s="8" t="inlineStr">
        <is>
          <t>Auto, motor ON</t>
        </is>
      </c>
      <c r="H38" s="12" t="n"/>
      <c r="I38" s="12" t="inlineStr">
        <is>
          <t>Not Run</t>
        </is>
      </c>
      <c r="J38" s="12" t="n"/>
      <c r="K38" s="12" t="n"/>
      <c r="L38" s="12" t="n"/>
      <c r="M38" s="8" t="n"/>
    </row>
    <row r="39">
      <c r="A39" s="7" t="inlineStr">
        <is>
          <t>TC-AUTO-18</t>
        </is>
      </c>
      <c r="B39" s="8" t="inlineStr">
        <is>
          <t>Auto mode</t>
        </is>
      </c>
      <c r="C39" s="8" t="inlineStr">
        <is>
          <t>AUTO-03</t>
        </is>
      </c>
      <c r="D39" s="8">
        <f>IFERROR(INDEX(Rules!$C$2:$C$104,MATCH(C39,Rules!$A$2:$A$104,0)),"")</f>
        <v/>
      </c>
      <c r="E39" s="8" t="inlineStr">
        <is>
          <t>Auto waiting at 75%</t>
        </is>
      </c>
      <c r="F39" s="8" t="inlineStr">
        <is>
          <t>Lower level to 50%</t>
        </is>
      </c>
      <c r="G39" s="8" t="inlineStr">
        <is>
          <t>Motor stays OFF</t>
        </is>
      </c>
      <c r="H39" s="12" t="n"/>
      <c r="I39" s="12" t="inlineStr">
        <is>
          <t>Not Run</t>
        </is>
      </c>
      <c r="J39" s="12" t="n"/>
      <c r="K39" s="12" t="n"/>
      <c r="L39" s="12" t="n"/>
      <c r="M39" s="8" t="n"/>
    </row>
    <row r="40">
      <c r="A40" s="7" t="inlineStr">
        <is>
          <t>TC-AUTO-19</t>
        </is>
      </c>
      <c r="B40" s="8" t="inlineStr">
        <is>
          <t>Auto mode</t>
        </is>
      </c>
      <c r="C40" s="8" t="inlineStr">
        <is>
          <t>AUTO-03</t>
        </is>
      </c>
      <c r="D40" s="8">
        <f>IFERROR(INDEX(Rules!$C$2:$C$104,MATCH(C40,Rules!$A$2:$A$104,0)),"")</f>
        <v/>
      </c>
      <c r="E40" s="8" t="inlineStr">
        <is>
          <t>Auto waiting at 50%</t>
        </is>
      </c>
      <c r="F40" s="8" t="inlineStr">
        <is>
          <t>Lower level to 25%</t>
        </is>
      </c>
      <c r="G40" s="8" t="inlineStr">
        <is>
          <t>Motor ON</t>
        </is>
      </c>
      <c r="H40" s="12" t="n"/>
      <c r="I40" s="12" t="inlineStr">
        <is>
          <t>Not Run</t>
        </is>
      </c>
      <c r="J40" s="12" t="n"/>
      <c r="K40" s="12" t="n"/>
      <c r="L40" s="12" t="n"/>
      <c r="M40" s="8" t="n"/>
    </row>
    <row r="41">
      <c r="A41" s="7" t="inlineStr">
        <is>
          <t>TC-AUTO-20</t>
        </is>
      </c>
      <c r="B41" s="8" t="inlineStr">
        <is>
          <t>Auto mode</t>
        </is>
      </c>
      <c r="C41" s="8" t="inlineStr">
        <is>
          <t>AUTO-02</t>
        </is>
      </c>
      <c r="D41" s="8">
        <f>IFERROR(INDEX(Rules!$C$2:$C$104,MATCH(C41,Rules!$A$2:$A$104,0)),"")</f>
        <v/>
      </c>
      <c r="E41" s="8" t="inlineStr">
        <is>
          <t>No mode active, level 50%</t>
        </is>
      </c>
      <c r="F41" s="8" t="inlineStr">
        <is>
          <t>Lower level to 25%, wait</t>
        </is>
      </c>
      <c r="G41" s="8" t="inlineStr">
        <is>
          <t>Device starts Auto by itself, motor ON</t>
        </is>
      </c>
      <c r="H41" s="12" t="n"/>
      <c r="I41" s="12" t="inlineStr">
        <is>
          <t>Not Run</t>
        </is>
      </c>
      <c r="J41" s="12" t="n"/>
      <c r="K41" s="12" t="n"/>
      <c r="L41" s="12" t="n"/>
      <c r="M41" s="8" t="n"/>
    </row>
    <row r="42">
      <c r="A42" s="7" t="inlineStr">
        <is>
          <t>TC-AUTO-21</t>
        </is>
      </c>
      <c r="B42" s="8" t="inlineStr">
        <is>
          <t>Auto mode</t>
        </is>
      </c>
      <c r="C42" s="8" t="inlineStr">
        <is>
          <t>AUTO-02</t>
        </is>
      </c>
      <c r="D42" s="8">
        <f>IFERROR(INDEX(Rules!$C$2:$C$104,MATCH(C42,Rules!$A$2:$A$104,0)),"")</f>
        <v/>
      </c>
      <c r="E42" s="8" t="inlineStr">
        <is>
          <t>Auto switched off by button 2 (AUTO M:OFF), level 50%</t>
        </is>
      </c>
      <c r="F42" s="8" t="inlineStr">
        <is>
          <t>Lower level to 25%</t>
        </is>
      </c>
      <c r="G42" s="8" t="inlineStr">
        <is>
          <t>Auto does NOT start by itself</t>
        </is>
      </c>
      <c r="H42" s="12" t="n"/>
      <c r="I42" s="12" t="inlineStr">
        <is>
          <t>Not Run</t>
        </is>
      </c>
      <c r="J42" s="12" t="n"/>
      <c r="K42" s="12" t="n"/>
      <c r="L42" s="12" t="n"/>
      <c r="M42" s="8" t="n"/>
    </row>
    <row r="43">
      <c r="A43" s="7" t="inlineStr">
        <is>
          <t>TC-AUTO-22</t>
        </is>
      </c>
      <c r="B43" s="8" t="inlineStr">
        <is>
          <t>Auto mode</t>
        </is>
      </c>
      <c r="C43" s="8" t="inlineStr">
        <is>
          <t>AUTO-02</t>
        </is>
      </c>
      <c r="D43" s="8">
        <f>IFERROR(INDEX(Rules!$C$2:$C$104,MATCH(C43,Rules!$A$2:$A$104,0)),"")</f>
        <v/>
      </c>
      <c r="E43" s="8" t="inlineStr">
        <is>
          <t>Manual switched off by button 1 (MANUAL shown), level 50%</t>
        </is>
      </c>
      <c r="F43" s="8" t="inlineStr">
        <is>
          <t>Lower level to 25%</t>
        </is>
      </c>
      <c r="G43" s="8" t="inlineStr">
        <is>
          <t>Auto does NOT start by itself; screen still MANUAL</t>
        </is>
      </c>
      <c r="H43" s="12" t="n"/>
      <c r="I43" s="12" t="inlineStr">
        <is>
          <t>Not Run</t>
        </is>
      </c>
      <c r="J43" s="12" t="n"/>
      <c r="K43" s="12" t="n"/>
      <c r="L43" s="12" t="n"/>
      <c r="M43" s="8" t="n"/>
    </row>
    <row r="44">
      <c r="A44" s="7" t="inlineStr">
        <is>
          <t>TC-AUTO-23</t>
        </is>
      </c>
      <c r="B44" s="8" t="inlineStr">
        <is>
          <t>Auto mode</t>
        </is>
      </c>
      <c r="C44" s="8" t="inlineStr">
        <is>
          <t>AUTO-13</t>
        </is>
      </c>
      <c r="D44" s="8">
        <f>IFERROR(INDEX(Rules!$C$2:$C$104,MATCH(C44,Rules!$A$2:$A$104,0)),"")</f>
        <v/>
      </c>
      <c r="E44" s="8" t="inlineStr">
        <is>
          <t>Auto waiting at 75%</t>
        </is>
      </c>
      <c r="F44" s="8" t="inlineStr">
        <is>
          <t>Short press button 1 (Refill)</t>
        </is>
      </c>
      <c r="G44" s="8" t="inlineStr">
        <is>
          <t>Motor ON until full, then back to Auto</t>
        </is>
      </c>
      <c r="H44" s="12" t="n"/>
      <c r="I44" s="12" t="inlineStr">
        <is>
          <t>Not Run</t>
        </is>
      </c>
      <c r="J44" s="12" t="n"/>
      <c r="K44" s="12" t="n"/>
      <c r="L44" s="12" t="n"/>
      <c r="M44" s="8" t="n"/>
    </row>
    <row r="45">
      <c r="A45" s="7" t="inlineStr">
        <is>
          <t>TC-MAN-01</t>
        </is>
      </c>
      <c r="B45" s="8" t="inlineStr">
        <is>
          <t>Manual mode</t>
        </is>
      </c>
      <c r="C45" s="8" t="inlineStr">
        <is>
          <t>MAN-01</t>
        </is>
      </c>
      <c r="D45" s="8">
        <f>IFERROR(INDEX(Rules!$C$2:$C$104,MATCH(C45,Rules!$A$2:$A$104,0)),"")</f>
        <v/>
      </c>
      <c r="E45" s="8" t="inlineStr">
        <is>
          <t>Dashboard</t>
        </is>
      </c>
      <c r="F45" s="8" t="inlineStr">
        <is>
          <t>Hold button 1 for 2 s</t>
        </is>
      </c>
      <c r="G45" s="8" t="inlineStr">
        <is>
          <t>Manual, motor ON</t>
        </is>
      </c>
      <c r="H45" s="12" t="n"/>
      <c r="I45" s="12" t="inlineStr">
        <is>
          <t>Not Run</t>
        </is>
      </c>
      <c r="J45" s="12" t="n"/>
      <c r="K45" s="12" t="n"/>
      <c r="L45" s="12" t="n"/>
      <c r="M45" s="8" t="n"/>
    </row>
    <row r="46">
      <c r="A46" s="7" t="inlineStr">
        <is>
          <t>TC-MAN-02</t>
        </is>
      </c>
      <c r="B46" s="8" t="inlineStr">
        <is>
          <t>Manual mode</t>
        </is>
      </c>
      <c r="C46" s="8" t="inlineStr">
        <is>
          <t>MAN-02</t>
        </is>
      </c>
      <c r="D46" s="8">
        <f>IFERROR(INDEX(Rules!$C$2:$C$104,MATCH(C46,Rules!$A$2:$A$104,0)),"")</f>
        <v/>
      </c>
      <c r="E46" s="8" t="inlineStr">
        <is>
          <t>Manual running</t>
        </is>
      </c>
      <c r="F46" s="8" t="inlineStr">
        <is>
          <t>Hold button 1 again</t>
        </is>
      </c>
      <c r="G46" s="8" t="inlineStr">
        <is>
          <t>Motor OFF, screen MANUAL</t>
        </is>
      </c>
      <c r="H46" s="12" t="n"/>
      <c r="I46" s="12" t="inlineStr">
        <is>
          <t>Not Run</t>
        </is>
      </c>
      <c r="J46" s="12" t="n"/>
      <c r="K46" s="12" t="n"/>
      <c r="L46" s="12" t="n"/>
      <c r="M46" s="8" t="n"/>
    </row>
    <row r="47">
      <c r="A47" s="7" t="inlineStr">
        <is>
          <t>TC-MAN-03</t>
        </is>
      </c>
      <c r="B47" s="8" t="inlineStr">
        <is>
          <t>Manual mode</t>
        </is>
      </c>
      <c r="C47" s="8" t="inlineStr">
        <is>
          <t>MAN-04</t>
        </is>
      </c>
      <c r="D47" s="8">
        <f>IFERROR(INDEX(Rules!$C$2:$C$104,MATCH(C47,Rules!$A$2:$A$104,0)),"")</f>
        <v/>
      </c>
      <c r="E47" s="8" t="inlineStr">
        <is>
          <t>Manual running, tank-full buzzer on</t>
        </is>
      </c>
      <c r="F47" s="8" t="inlineStr">
        <is>
          <t>Raise level to 100%</t>
        </is>
      </c>
      <c r="G47" s="8" t="inlineStr">
        <is>
          <t>Motor keeps running; buzzer 30 s</t>
        </is>
      </c>
      <c r="H47" s="12" t="n"/>
      <c r="I47" s="12" t="inlineStr">
        <is>
          <t>Not Run</t>
        </is>
      </c>
      <c r="J47" s="12" t="n"/>
      <c r="K47" s="12" t="n"/>
      <c r="L47" s="12" t="n"/>
      <c r="M47" s="8" t="n"/>
    </row>
    <row r="48">
      <c r="A48" s="7" t="inlineStr">
        <is>
          <t>TC-MAN-04</t>
        </is>
      </c>
      <c r="B48" s="8" t="inlineStr">
        <is>
          <t>Manual mode</t>
        </is>
      </c>
      <c r="C48" s="8" t="inlineStr">
        <is>
          <t>MAN-05</t>
        </is>
      </c>
      <c r="D48" s="8">
        <f>IFERROR(INDEX(Rules!$C$2:$C$104,MATCH(C48,Rules!$A$2:$A$104,0)),"")</f>
        <v/>
      </c>
      <c r="E48" s="8" t="inlineStr">
        <is>
          <t>Manual running</t>
        </is>
      </c>
      <c r="F48" s="8" t="inlineStr">
        <is>
          <t>Remove dry sensor and G.W</t>
        </is>
      </c>
      <c r="G48" s="8" t="inlineStr">
        <is>
          <t>No effect on the motor</t>
        </is>
      </c>
      <c r="H48" s="12" t="n"/>
      <c r="I48" s="12" t="inlineStr">
        <is>
          <t>Not Run</t>
        </is>
      </c>
      <c r="J48" s="12" t="n"/>
      <c r="K48" s="12" t="n"/>
      <c r="L48" s="12" t="n"/>
      <c r="M48" s="8" t="n"/>
    </row>
    <row r="49">
      <c r="A49" s="7" t="inlineStr">
        <is>
          <t>TC-MAN-05</t>
        </is>
      </c>
      <c r="B49" s="8" t="inlineStr">
        <is>
          <t>Manual mode</t>
        </is>
      </c>
      <c r="C49" s="8" t="inlineStr">
        <is>
          <t>MAN-03</t>
        </is>
      </c>
      <c r="D49" s="8">
        <f>IFERROR(INDEX(Rules!$C$2:$C$104,MATCH(C49,Rules!$A$2:$A$104,0)),"")</f>
        <v/>
      </c>
      <c r="E49" s="8" t="inlineStr">
        <is>
          <t>Max run 5 min, Manual running</t>
        </is>
      </c>
      <c r="F49" s="8" t="inlineStr">
        <is>
          <t>Let it run 5 min</t>
        </is>
      </c>
      <c r="G49" s="8" t="inlineStr">
        <is>
          <t>Motor OFF, Manual ends</t>
        </is>
      </c>
      <c r="H49" s="12" t="n"/>
      <c r="I49" s="12" t="inlineStr">
        <is>
          <t>Not Run</t>
        </is>
      </c>
      <c r="J49" s="12" t="n"/>
      <c r="K49" s="12" t="n"/>
      <c r="L49" s="12" t="n"/>
      <c r="M49" s="8" t="n"/>
    </row>
    <row r="50">
      <c r="A50" s="7" t="inlineStr">
        <is>
          <t>TC-MAN-06</t>
        </is>
      </c>
      <c r="B50" s="8" t="inlineStr">
        <is>
          <t>Manual mode</t>
        </is>
      </c>
      <c r="C50" s="8" t="inlineStr">
        <is>
          <t>MAN-01</t>
        </is>
      </c>
      <c r="D50" s="8">
        <f>IFERROR(INDEX(Rules!$C$2:$C$104,MATCH(C50,Rules!$A$2:$A$104,0)),"")</f>
        <v/>
      </c>
      <c r="E50" s="8" t="inlineStr">
        <is>
          <t>App connected</t>
        </is>
      </c>
      <c r="F50" s="8" t="inlineStr">
        <is>
          <t>App: switch motor ON, then OFF</t>
        </is>
      </c>
      <c r="G50" s="8" t="inlineStr">
        <is>
          <t>Device follows the app</t>
        </is>
      </c>
      <c r="H50" s="12" t="n"/>
      <c r="I50" s="12" t="inlineStr">
        <is>
          <t>Not Run</t>
        </is>
      </c>
      <c r="J50" s="12" t="n"/>
      <c r="K50" s="12" t="n"/>
      <c r="L50" s="12" t="n"/>
      <c r="M50" s="8" t="n"/>
    </row>
    <row r="51">
      <c r="A51" s="7" t="inlineStr">
        <is>
          <t>TC-MAN-07</t>
        </is>
      </c>
      <c r="B51" s="8" t="inlineStr">
        <is>
          <t>Manual mode</t>
        </is>
      </c>
      <c r="C51" s="8" t="inlineStr">
        <is>
          <t>MAN-06</t>
        </is>
      </c>
      <c r="D51" s="8">
        <f>IFERROR(INDEX(Rules!$C$2:$C$104,MATCH(C51,Rules!$A$2:$A$104,0)),"")</f>
        <v/>
      </c>
      <c r="E51" s="8" t="inlineStr">
        <is>
          <t>Manual running</t>
        </is>
      </c>
      <c r="F51" s="8" t="inlineStr">
        <is>
          <t>Low voltage for 5 s</t>
        </is>
      </c>
      <c r="G51" s="8" t="inlineStr">
        <is>
          <t>Motor OFF; screen still MANUAL; motor does not restart when voltage returns</t>
        </is>
      </c>
      <c r="H51" s="12" t="n"/>
      <c r="I51" s="12" t="inlineStr">
        <is>
          <t>Not Run</t>
        </is>
      </c>
      <c r="J51" s="12" t="n"/>
      <c r="K51" s="12" t="n"/>
      <c r="L51" s="12" t="n"/>
      <c r="M51" s="8" t="n"/>
    </row>
    <row r="52">
      <c r="A52" s="7" t="inlineStr">
        <is>
          <t>TC-MAN-08</t>
        </is>
      </c>
      <c r="B52" s="8" t="inlineStr">
        <is>
          <t>Manual mode</t>
        </is>
      </c>
      <c r="C52" s="8" t="inlineStr">
        <is>
          <t>MAN-06</t>
        </is>
      </c>
      <c r="D52" s="8">
        <f>IFERROR(INDEX(Rules!$C$2:$C$104,MATCH(C52,Rules!$A$2:$A$104,0)),"")</f>
        <v/>
      </c>
      <c r="E52" s="8" t="inlineStr">
        <is>
          <t>Manual stopped by a fault (MANUAL shown)</t>
        </is>
      </c>
      <c r="F52" s="8" t="inlineStr">
        <is>
          <t>Hold button 1</t>
        </is>
      </c>
      <c r="G52" s="8" t="inlineStr">
        <is>
          <t>Motor ON again</t>
        </is>
      </c>
      <c r="H52" s="12" t="n"/>
      <c r="I52" s="12" t="inlineStr">
        <is>
          <t>Not Run</t>
        </is>
      </c>
      <c r="J52" s="12" t="n"/>
      <c r="K52" s="12" t="n"/>
      <c r="L52" s="12" t="n"/>
      <c r="M52" s="8" t="n"/>
    </row>
    <row r="53">
      <c r="A53" s="7" t="inlineStr">
        <is>
          <t>TC-MAN-09</t>
        </is>
      </c>
      <c r="B53" s="8" t="inlineStr">
        <is>
          <t>Manual mode</t>
        </is>
      </c>
      <c r="C53" s="8" t="inlineStr">
        <is>
          <t>MAN-06</t>
        </is>
      </c>
      <c r="D53" s="8">
        <f>IFERROR(INDEX(Rules!$C$2:$C$104,MATCH(C53,Rules!$A$2:$A$104,0)),"")</f>
        <v/>
      </c>
      <c r="E53" s="8" t="inlineStr">
        <is>
          <t>Max run 5 min, Manual running</t>
        </is>
      </c>
      <c r="F53" s="8" t="inlineStr">
        <is>
          <t>Let it run 5 min</t>
        </is>
      </c>
      <c r="G53" s="8" t="inlineStr">
        <is>
          <t>Motor OFF; screen still MANUAL</t>
        </is>
      </c>
      <c r="H53" s="12" t="n"/>
      <c r="I53" s="12" t="inlineStr">
        <is>
          <t>Not Run</t>
        </is>
      </c>
      <c r="J53" s="12" t="n"/>
      <c r="K53" s="12" t="n"/>
      <c r="L53" s="12" t="n"/>
      <c r="M53" s="8" t="n"/>
    </row>
    <row r="54">
      <c r="A54" s="7" t="inlineStr">
        <is>
          <t>TC-TMR-01</t>
        </is>
      </c>
      <c r="B54" s="8" t="inlineStr">
        <is>
          <t>Timer mode</t>
        </is>
      </c>
      <c r="C54" s="8" t="inlineStr">
        <is>
          <t>TMR-03</t>
        </is>
      </c>
      <c r="D54" s="8">
        <f>IFERROR(INDEX(Rules!$C$2:$C$104,MATCH(C54,Rules!$A$2:$A$104,0)),"")</f>
        <v/>
      </c>
      <c r="E54" s="8" t="inlineStr">
        <is>
          <t>Slot 1 = now to now+10 min, today selected</t>
        </is>
      </c>
      <c r="F54" s="8" t="inlineStr">
        <is>
          <t>Start Timer (button 3)</t>
        </is>
      </c>
      <c r="G54" s="8" t="inlineStr">
        <is>
          <t>Motor ON</t>
        </is>
      </c>
      <c r="H54" s="12" t="n"/>
      <c r="I54" s="12" t="inlineStr">
        <is>
          <t>Not Run</t>
        </is>
      </c>
      <c r="J54" s="12" t="n"/>
      <c r="K54" s="12" t="n"/>
      <c r="L54" s="12" t="n"/>
      <c r="M54" s="8" t="n"/>
    </row>
    <row r="55">
      <c r="A55" s="7" t="inlineStr">
        <is>
          <t>TC-TMR-02</t>
        </is>
      </c>
      <c r="B55" s="8" t="inlineStr">
        <is>
          <t>Timer mode</t>
        </is>
      </c>
      <c r="C55" s="8" t="inlineStr">
        <is>
          <t>TMR-04</t>
        </is>
      </c>
      <c r="D55" s="8">
        <f>IFERROR(INDEX(Rules!$C$2:$C$104,MATCH(C55,Rules!$A$2:$A$104,0)),"")</f>
        <v/>
      </c>
      <c r="E55" s="8" t="inlineStr">
        <is>
          <t>Timer running in slot 1</t>
        </is>
      </c>
      <c r="F55" s="8" t="inlineStr">
        <is>
          <t>Wait until the slot OFF time</t>
        </is>
      </c>
      <c r="G55" s="8" t="inlineStr">
        <is>
          <t>Motor OFF</t>
        </is>
      </c>
      <c r="H55" s="12" t="n"/>
      <c r="I55" s="12" t="inlineStr">
        <is>
          <t>Not Run</t>
        </is>
      </c>
      <c r="J55" s="12" t="n"/>
      <c r="K55" s="12" t="n"/>
      <c r="L55" s="12" t="n"/>
      <c r="M55" s="8" t="n"/>
    </row>
    <row r="56">
      <c r="A56" s="7" t="inlineStr">
        <is>
          <t>TC-TMR-03</t>
        </is>
      </c>
      <c r="B56" s="8" t="inlineStr">
        <is>
          <t>Timer mode</t>
        </is>
      </c>
      <c r="C56" s="8" t="inlineStr">
        <is>
          <t>TMR-03</t>
        </is>
      </c>
      <c r="D56" s="8">
        <f>IFERROR(INDEX(Rules!$C$2:$C$104,MATCH(C56,Rules!$A$2:$A$104,0)),"")</f>
        <v/>
      </c>
      <c r="E56" s="8" t="inlineStr">
        <is>
          <t>Slot 1 active time, today NOT selected</t>
        </is>
      </c>
      <c r="F56" s="8" t="inlineStr">
        <is>
          <t>Start Timer</t>
        </is>
      </c>
      <c r="G56" s="8" t="inlineStr">
        <is>
          <t>Motor stays OFF</t>
        </is>
      </c>
      <c r="H56" s="12" t="n"/>
      <c r="I56" s="12" t="inlineStr">
        <is>
          <t>Not Run</t>
        </is>
      </c>
      <c r="J56" s="12" t="n"/>
      <c r="K56" s="12" t="n"/>
      <c r="L56" s="12" t="n"/>
      <c r="M56" s="8" t="n"/>
    </row>
    <row r="57">
      <c r="A57" s="7" t="inlineStr">
        <is>
          <t>TC-TMR-04</t>
        </is>
      </c>
      <c r="B57" s="8" t="inlineStr">
        <is>
          <t>Timer mode</t>
        </is>
      </c>
      <c r="C57" s="8" t="inlineStr">
        <is>
          <t>TMR-03</t>
        </is>
      </c>
      <c r="D57" s="8">
        <f>IFERROR(INDEX(Rules!$C$2:$C$104,MATCH(C57,Rules!$A$2:$A$104,0)),"")</f>
        <v/>
      </c>
      <c r="E57" s="8" t="inlineStr">
        <is>
          <t>Slot crossing midnight 23:50-00:10</t>
        </is>
      </c>
      <c r="F57" s="8" t="inlineStr">
        <is>
          <t>Wait through midnight</t>
        </is>
      </c>
      <c r="G57" s="8" t="inlineStr">
        <is>
          <t>Motor ON 23:50 to 00:10</t>
        </is>
      </c>
      <c r="H57" s="12" t="n"/>
      <c r="I57" s="12" t="inlineStr">
        <is>
          <t>Not Run</t>
        </is>
      </c>
      <c r="J57" s="12" t="n"/>
      <c r="K57" s="12" t="n"/>
      <c r="L57" s="12" t="n"/>
      <c r="M57" s="8" t="n"/>
    </row>
    <row r="58">
      <c r="A58" s="7" t="inlineStr">
        <is>
          <t>TC-TMR-05</t>
        </is>
      </c>
      <c r="B58" s="8" t="inlineStr">
        <is>
          <t>Timer mode</t>
        </is>
      </c>
      <c r="C58" s="8" t="inlineStr">
        <is>
          <t>TMR-01</t>
        </is>
      </c>
      <c r="D58" s="8">
        <f>IFERROR(INDEX(Rules!$C$2:$C$104,MATCH(C58,Rules!$A$2:$A$104,0)),"")</f>
        <v/>
      </c>
      <c r="E58" s="8" t="inlineStr">
        <is>
          <t>Two slots set</t>
        </is>
      </c>
      <c r="F58" s="8" t="inlineStr">
        <is>
          <t>Wait through both slots</t>
        </is>
      </c>
      <c r="G58" s="8" t="inlineStr">
        <is>
          <t>Motor runs in both slots only</t>
        </is>
      </c>
      <c r="H58" s="12" t="n"/>
      <c r="I58" s="12" t="inlineStr">
        <is>
          <t>Not Run</t>
        </is>
      </c>
      <c r="J58" s="12" t="n"/>
      <c r="K58" s="12" t="n"/>
      <c r="L58" s="12" t="n"/>
      <c r="M58" s="8" t="n"/>
    </row>
    <row r="59">
      <c r="A59" s="7" t="inlineStr">
        <is>
          <t>TC-TMR-06</t>
        </is>
      </c>
      <c r="B59" s="8" t="inlineStr">
        <is>
          <t>Timer mode</t>
        </is>
      </c>
      <c r="C59" s="8" t="inlineStr">
        <is>
          <t>TMR-11</t>
        </is>
      </c>
      <c r="D59" s="8">
        <f>IFERROR(INDEX(Rules!$C$2:$C$104,MATCH(C59,Rules!$A$2:$A$104,0)),"")</f>
        <v/>
      </c>
      <c r="E59" s="8" t="inlineStr">
        <is>
          <t>Slot 1 enabled</t>
        </is>
      </c>
      <c r="F59" s="8" t="inlineStr">
        <is>
          <t>App: uncheck slot 1, save, reload page</t>
        </is>
      </c>
      <c r="G59" s="8" t="inlineStr">
        <is>
          <t>Slot 1 shows unchecked</t>
        </is>
      </c>
      <c r="H59" s="12" t="n"/>
      <c r="I59" s="12" t="inlineStr">
        <is>
          <t>Not Run</t>
        </is>
      </c>
      <c r="J59" s="12" t="n"/>
      <c r="K59" s="12" t="n"/>
      <c r="L59" s="12" t="n"/>
      <c r="M59" s="8" t="n"/>
    </row>
    <row r="60">
      <c r="A60" s="7" t="inlineStr">
        <is>
          <t>TC-TMR-07</t>
        </is>
      </c>
      <c r="B60" s="8" t="inlineStr">
        <is>
          <t>Timer mode</t>
        </is>
      </c>
      <c r="C60" s="8" t="inlineStr">
        <is>
          <t>TMR-11</t>
        </is>
      </c>
      <c r="D60" s="8">
        <f>IFERROR(INDEX(Rules!$C$2:$C$104,MATCH(C60,Rules!$A$2:$A$104,0)),"")</f>
        <v/>
      </c>
      <c r="E60" s="8" t="inlineStr">
        <is>
          <t>Slot 1 disabled</t>
        </is>
      </c>
      <c r="F60" s="8" t="inlineStr">
        <is>
          <t>Reboot the device, open app timer page</t>
        </is>
      </c>
      <c r="G60" s="8" t="inlineStr">
        <is>
          <t>Slot 1 still unchecked</t>
        </is>
      </c>
      <c r="H60" s="12" t="n"/>
      <c r="I60" s="12" t="inlineStr">
        <is>
          <t>Not Run</t>
        </is>
      </c>
      <c r="J60" s="12" t="n"/>
      <c r="K60" s="12" t="n"/>
      <c r="L60" s="12" t="n"/>
      <c r="M60" s="8" t="n"/>
    </row>
    <row r="61">
      <c r="A61" s="7" t="inlineStr">
        <is>
          <t>TC-TMR-08</t>
        </is>
      </c>
      <c r="B61" s="8" t="inlineStr">
        <is>
          <t>Timer mode</t>
        </is>
      </c>
      <c r="C61" s="8" t="inlineStr">
        <is>
          <t>TMR-08</t>
        </is>
      </c>
      <c r="D61" s="8">
        <f>IFERROR(INDEX(Rules!$C$2:$C$104,MATCH(C61,Rules!$A$2:$A$104,0)),"")</f>
        <v/>
      </c>
      <c r="E61" s="8" t="inlineStr">
        <is>
          <t>Dry run ON, dry sensor dry, slot active</t>
        </is>
      </c>
      <c r="F61" s="8" t="inlineStr">
        <is>
          <t>Start Timer</t>
        </is>
      </c>
      <c r="G61" s="8" t="inlineStr">
        <is>
          <t>Motor OFF after dry run time; retries after the testing gap while the slot is active</t>
        </is>
      </c>
      <c r="H61" s="12" t="n"/>
      <c r="I61" s="12" t="inlineStr">
        <is>
          <t>Not Run</t>
        </is>
      </c>
      <c r="J61" s="12" t="n"/>
      <c r="K61" s="12" t="n"/>
      <c r="L61" s="12" t="n"/>
      <c r="M61" s="8" t="n"/>
    </row>
    <row r="62">
      <c r="A62" s="7" t="inlineStr">
        <is>
          <t>TC-TMR-09</t>
        </is>
      </c>
      <c r="B62" s="8" t="inlineStr">
        <is>
          <t>Timer mode</t>
        </is>
      </c>
      <c r="C62" s="8" t="inlineStr">
        <is>
          <t>TMR-09</t>
        </is>
      </c>
      <c r="D62" s="8">
        <f>IFERROR(INDEX(Rules!$C$2:$C$104,MATCH(C62,Rules!$A$2:$A$104,0)),"")</f>
        <v/>
      </c>
      <c r="E62" s="8" t="inlineStr">
        <is>
          <t>Timer running, water confirmed</t>
        </is>
      </c>
      <c r="F62" s="8" t="inlineStr">
        <is>
          <t>Remove water from dry sensor</t>
        </is>
      </c>
      <c r="G62" s="8" t="inlineStr">
        <is>
          <t>Motor OFF; waits the testing gap</t>
        </is>
      </c>
      <c r="H62" s="12" t="n"/>
      <c r="I62" s="12" t="inlineStr">
        <is>
          <t>Not Run</t>
        </is>
      </c>
      <c r="J62" s="12" t="n"/>
      <c r="K62" s="12" t="n"/>
      <c r="L62" s="12" t="n"/>
      <c r="M62" s="8" t="n"/>
    </row>
    <row r="63">
      <c r="A63" s="7" t="inlineStr">
        <is>
          <t>TC-TMR-10</t>
        </is>
      </c>
      <c r="B63" s="8" t="inlineStr">
        <is>
          <t>Timer mode</t>
        </is>
      </c>
      <c r="C63" s="8" t="inlineStr">
        <is>
          <t>TMR-06</t>
        </is>
      </c>
      <c r="D63" s="8">
        <f>IFERROR(INDEX(Rules!$C$2:$C$104,MATCH(C63,Rules!$A$2:$A$104,0)),"")</f>
        <v/>
      </c>
      <c r="E63" s="8" t="inlineStr">
        <is>
          <t>Slot active, motor off (after dry fail)</t>
        </is>
      </c>
      <c r="F63" s="8" t="inlineStr">
        <is>
          <t>Connect G.W, wait 10 s</t>
        </is>
      </c>
      <c r="G63" s="8" t="inlineStr">
        <is>
          <t>Motor ON</t>
        </is>
      </c>
      <c r="H63" s="12" t="n"/>
      <c r="I63" s="12" t="inlineStr">
        <is>
          <t>Not Run</t>
        </is>
      </c>
      <c r="J63" s="12" t="n"/>
      <c r="K63" s="12" t="n"/>
      <c r="L63" s="12" t="n"/>
      <c r="M63" s="8" t="n"/>
    </row>
    <row r="64">
      <c r="A64" s="7" t="inlineStr">
        <is>
          <t>TC-TMR-11</t>
        </is>
      </c>
      <c r="B64" s="8" t="inlineStr">
        <is>
          <t>Timer mode</t>
        </is>
      </c>
      <c r="C64" s="8" t="inlineStr">
        <is>
          <t>TMR-05</t>
        </is>
      </c>
      <c r="D64" s="8">
        <f>IFERROR(INDEX(Rules!$C$2:$C$104,MATCH(C64,Rules!$A$2:$A$104,0)),"")</f>
        <v/>
      </c>
      <c r="E64" s="8" t="inlineStr">
        <is>
          <t>Outside every slot</t>
        </is>
      </c>
      <c r="F64" s="8" t="inlineStr">
        <is>
          <t>Connect G.W</t>
        </is>
      </c>
      <c r="G64" s="8" t="inlineStr">
        <is>
          <t>Nothing happens</t>
        </is>
      </c>
      <c r="H64" s="12" t="n"/>
      <c r="I64" s="12" t="inlineStr">
        <is>
          <t>Not Run</t>
        </is>
      </c>
      <c r="J64" s="12" t="n"/>
      <c r="K64" s="12" t="n"/>
      <c r="L64" s="12" t="n"/>
      <c r="M64" s="8" t="n"/>
    </row>
    <row r="65">
      <c r="A65" s="7" t="inlineStr">
        <is>
          <t>TC-TMR-12</t>
        </is>
      </c>
      <c r="B65" s="8" t="inlineStr">
        <is>
          <t>Timer mode</t>
        </is>
      </c>
      <c r="C65" s="8" t="inlineStr">
        <is>
          <t>TMR-07</t>
        </is>
      </c>
      <c r="D65" s="8">
        <f>IFERROR(INDEX(Rules!$C$2:$C$104,MATCH(C65,Rules!$A$2:$A$104,0)),"")</f>
        <v/>
      </c>
      <c r="E65" s="8" t="inlineStr">
        <is>
          <t>Slot active, running, G.W YES</t>
        </is>
      </c>
      <c r="F65" s="8" t="inlineStr">
        <is>
          <t>Remove G.W, wait 10 s</t>
        </is>
      </c>
      <c r="G65" s="8" t="inlineStr">
        <is>
          <t>Motor OFF; waits the testing gap</t>
        </is>
      </c>
      <c r="H65" s="12" t="n"/>
      <c r="I65" s="12" t="inlineStr">
        <is>
          <t>Not Run</t>
        </is>
      </c>
      <c r="J65" s="12" t="n"/>
      <c r="K65" s="12" t="n"/>
      <c r="L65" s="12" t="n"/>
      <c r="M65" s="8" t="n"/>
    </row>
    <row r="66">
      <c r="A66" s="7" t="inlineStr">
        <is>
          <t>TC-TMR-13</t>
        </is>
      </c>
      <c r="B66" s="8" t="inlineStr">
        <is>
          <t>Timer mode</t>
        </is>
      </c>
      <c r="C66" s="8" t="inlineStr">
        <is>
          <t>TMR-10</t>
        </is>
      </c>
      <c r="D66" s="8">
        <f>IFERROR(INDEX(Rules!$C$2:$C$104,MATCH(C66,Rules!$A$2:$A$104,0)),"")</f>
        <v/>
      </c>
      <c r="E66" s="8" t="inlineStr">
        <is>
          <t>Timer running</t>
        </is>
      </c>
      <c r="F66" s="8" t="inlineStr">
        <is>
          <t>Raise level to 100%</t>
        </is>
      </c>
      <c r="G66" s="8" t="inlineStr">
        <is>
          <t>Motor OFF</t>
        </is>
      </c>
      <c r="H66" s="12" t="n"/>
      <c r="I66" s="12" t="inlineStr">
        <is>
          <t>Not Run</t>
        </is>
      </c>
      <c r="J66" s="12" t="n"/>
      <c r="K66" s="12" t="n"/>
      <c r="L66" s="12" t="n"/>
      <c r="M66" s="8" t="n"/>
    </row>
    <row r="67">
      <c r="A67" s="7" t="inlineStr">
        <is>
          <t>TC-TMR-14</t>
        </is>
      </c>
      <c r="B67" s="8" t="inlineStr">
        <is>
          <t>Timer mode</t>
        </is>
      </c>
      <c r="C67" s="8" t="inlineStr">
        <is>
          <t>TMR-10</t>
        </is>
      </c>
      <c r="D67" s="8">
        <f>IFERROR(INDEX(Rules!$C$2:$C$104,MATCH(C67,Rules!$A$2:$A$104,0)),"")</f>
        <v/>
      </c>
      <c r="E67" s="8" t="inlineStr">
        <is>
          <t>Timer stopped at 100%, slot active</t>
        </is>
      </c>
      <c r="F67" s="8" t="inlineStr">
        <is>
          <t>Lower level to 75%</t>
        </is>
      </c>
      <c r="G67" s="8" t="inlineStr">
        <is>
          <t>Motor ON (see decision DEC-01)</t>
        </is>
      </c>
      <c r="H67" s="12" t="n"/>
      <c r="I67" s="12" t="inlineStr">
        <is>
          <t>Not Run</t>
        </is>
      </c>
      <c r="J67" s="12" t="n"/>
      <c r="K67" s="12" t="n"/>
      <c r="L67" s="12" t="n"/>
      <c r="M67" s="8" t="n"/>
    </row>
    <row r="68">
      <c r="A68" s="7" t="inlineStr">
        <is>
          <t>TC-TMR-15</t>
        </is>
      </c>
      <c r="B68" s="8" t="inlineStr">
        <is>
          <t>Timer mode</t>
        </is>
      </c>
      <c r="C68" s="8" t="inlineStr">
        <is>
          <t>TMR-02</t>
        </is>
      </c>
      <c r="D68" s="8">
        <f>IFERROR(INDEX(Rules!$C$2:$C$104,MATCH(C68,Rules!$A$2:$A$104,0)),"")</f>
        <v/>
      </c>
      <c r="E68" s="8" t="inlineStr">
        <is>
          <t>App connected</t>
        </is>
      </c>
      <c r="F68" s="8" t="inlineStr">
        <is>
          <t>App: Save &amp; Start Timer, then Stop Timer</t>
        </is>
      </c>
      <c r="G68" s="8" t="inlineStr">
        <is>
          <t>Timer starts, then stops</t>
        </is>
      </c>
      <c r="H68" s="12" t="n"/>
      <c r="I68" s="12" t="inlineStr">
        <is>
          <t>Not Run</t>
        </is>
      </c>
      <c r="J68" s="12" t="n"/>
      <c r="K68" s="12" t="n"/>
      <c r="L68" s="12" t="n"/>
      <c r="M68" s="8" t="n"/>
    </row>
    <row r="69">
      <c r="A69" s="7" t="inlineStr">
        <is>
          <t>TC-TMR-16</t>
        </is>
      </c>
      <c r="B69" s="8" t="inlineStr">
        <is>
          <t>Timer mode</t>
        </is>
      </c>
      <c r="C69" s="8" t="inlineStr">
        <is>
          <t>TMR-03</t>
        </is>
      </c>
      <c r="D69" s="8">
        <f>IFERROR(INDEX(Rules!$C$2:$C$104,MATCH(C69,Rules!$A$2:$A$104,0)),"")</f>
        <v/>
      </c>
      <c r="E69" s="8" t="inlineStr">
        <is>
          <t>Example from report: slot 10:00-11:50, dry 3 min, gap 15 min</t>
        </is>
      </c>
      <c r="F69" s="8" t="inlineStr">
        <is>
          <t>At 15:00 connect G.W</t>
        </is>
      </c>
      <c r="G69" s="8" t="inlineStr">
        <is>
          <t>Nothing happens (outside slot)</t>
        </is>
      </c>
      <c r="H69" s="12" t="n"/>
      <c r="I69" s="12" t="inlineStr">
        <is>
          <t>Not Run</t>
        </is>
      </c>
      <c r="J69" s="12" t="n"/>
      <c r="K69" s="12" t="n"/>
      <c r="L69" s="12" t="n"/>
      <c r="M69" s="8" t="n"/>
    </row>
    <row r="70">
      <c r="A70" s="7" t="inlineStr">
        <is>
          <t>TC-TWS-01</t>
        </is>
      </c>
      <c r="B70" s="8" t="inlineStr">
        <is>
          <t>Twist mode</t>
        </is>
      </c>
      <c r="C70" s="8" t="inlineStr">
        <is>
          <t>TWS-02</t>
        </is>
      </c>
      <c r="D70" s="8">
        <f>IFERROR(INDEX(Rules!$C$2:$C$104,MATCH(C70,Rules!$A$2:$A$104,0)),"")</f>
        <v/>
      </c>
      <c r="E70" s="8" t="inlineStr">
        <is>
          <t>Twist ON 2 min, OFF 2 min, all day</t>
        </is>
      </c>
      <c r="F70" s="8" t="inlineStr">
        <is>
          <t>Start Twist</t>
        </is>
      </c>
      <c r="G70" s="8" t="inlineStr">
        <is>
          <t>Motor ON 2 min, OFF 2 min, repeats</t>
        </is>
      </c>
      <c r="H70" s="12" t="n"/>
      <c r="I70" s="12" t="inlineStr">
        <is>
          <t>Not Run</t>
        </is>
      </c>
      <c r="J70" s="12" t="n"/>
      <c r="K70" s="12" t="n"/>
      <c r="L70" s="12" t="n"/>
      <c r="M70" s="8" t="n"/>
    </row>
    <row r="71">
      <c r="A71" s="7" t="inlineStr">
        <is>
          <t>TC-TWS-02</t>
        </is>
      </c>
      <c r="B71" s="8" t="inlineStr">
        <is>
          <t>Twist mode</t>
        </is>
      </c>
      <c r="C71" s="8" t="inlineStr">
        <is>
          <t>TWS-03</t>
        </is>
      </c>
      <c r="D71" s="8">
        <f>IFERROR(INDEX(Rules!$C$2:$C$104,MATCH(C71,Rules!$A$2:$A$104,0)),"")</f>
        <v/>
      </c>
      <c r="E71" s="8" t="inlineStr">
        <is>
          <t>Twist start/stop time outside now</t>
        </is>
      </c>
      <c r="F71" s="8" t="inlineStr">
        <is>
          <t>Start Twist</t>
        </is>
      </c>
      <c r="G71" s="8" t="inlineStr">
        <is>
          <t>Motor stays OFF until the start time</t>
        </is>
      </c>
      <c r="H71" s="12" t="n"/>
      <c r="I71" s="12" t="inlineStr">
        <is>
          <t>Not Run</t>
        </is>
      </c>
      <c r="J71" s="12" t="n"/>
      <c r="K71" s="12" t="n"/>
      <c r="L71" s="12" t="n"/>
      <c r="M71" s="8" t="n"/>
    </row>
    <row r="72">
      <c r="A72" s="7" t="inlineStr">
        <is>
          <t>TC-TWS-03</t>
        </is>
      </c>
      <c r="B72" s="8" t="inlineStr">
        <is>
          <t>Twist mode</t>
        </is>
      </c>
      <c r="C72" s="8" t="inlineStr">
        <is>
          <t>TWS-03</t>
        </is>
      </c>
      <c r="D72" s="8">
        <f>IFERROR(INDEX(Rules!$C$2:$C$104,MATCH(C72,Rules!$A$2:$A$104,0)),"")</f>
        <v/>
      </c>
      <c r="E72" s="8" t="inlineStr">
        <is>
          <t>Twist start time = stop time</t>
        </is>
      </c>
      <c r="F72" s="8" t="inlineStr">
        <is>
          <t>Start Twist</t>
        </is>
      </c>
      <c r="G72" s="8" t="inlineStr">
        <is>
          <t>Runs all day</t>
        </is>
      </c>
      <c r="H72" s="12" t="n"/>
      <c r="I72" s="12" t="inlineStr">
        <is>
          <t>Not Run</t>
        </is>
      </c>
      <c r="J72" s="12" t="n"/>
      <c r="K72" s="12" t="n"/>
      <c r="L72" s="12" t="n"/>
      <c r="M72" s="8" t="n"/>
    </row>
    <row r="73">
      <c r="A73" s="7" t="inlineStr">
        <is>
          <t>TC-TWS-04</t>
        </is>
      </c>
      <c r="B73" s="8" t="inlineStr">
        <is>
          <t>Twist mode</t>
        </is>
      </c>
      <c r="C73" s="8" t="inlineStr">
        <is>
          <t>TWS-04</t>
        </is>
      </c>
      <c r="D73" s="8">
        <f>IFERROR(INDEX(Rules!$C$2:$C$104,MATCH(C73,Rules!$A$2:$A$104,0)),"")</f>
        <v/>
      </c>
      <c r="E73" s="8" t="inlineStr">
        <is>
          <t>Dry run ON (1 min), dry sensor in water, ON 3 min</t>
        </is>
      </c>
      <c r="F73" s="8" t="inlineStr">
        <is>
          <t>Start Twist</t>
        </is>
      </c>
      <c r="G73" s="8" t="inlineStr">
        <is>
          <t>Motor runs the full 3 min ON period</t>
        </is>
      </c>
      <c r="H73" s="12" t="n"/>
      <c r="I73" s="12" t="inlineStr">
        <is>
          <t>Not Run</t>
        </is>
      </c>
      <c r="J73" s="12" t="n"/>
      <c r="K73" s="12" t="n"/>
      <c r="L73" s="12" t="n"/>
      <c r="M73" s="8" t="n"/>
    </row>
    <row r="74">
      <c r="A74" s="7" t="inlineStr">
        <is>
          <t>TC-TWS-05</t>
        </is>
      </c>
      <c r="B74" s="8" t="inlineStr">
        <is>
          <t>Twist mode</t>
        </is>
      </c>
      <c r="C74" s="8" t="inlineStr">
        <is>
          <t>TWS-05</t>
        </is>
      </c>
      <c r="D74" s="8">
        <f>IFERROR(INDEX(Rules!$C$2:$C$104,MATCH(C74,Rules!$A$2:$A$104,0)),"")</f>
        <v/>
      </c>
      <c r="E74" s="8" t="inlineStr">
        <is>
          <t>Dry run ON (1 min), dry sensor dry, ON 3 min, OFF 2 min</t>
        </is>
      </c>
      <c r="F74" s="8" t="inlineStr">
        <is>
          <t>Start Twist</t>
        </is>
      </c>
      <c r="G74" s="8" t="inlineStr">
        <is>
          <t>ON 1 min then OFF for remaining 2 min, then 2 min OFF, next ON period tests again; Twist continues</t>
        </is>
      </c>
      <c r="H74" s="12" t="n"/>
      <c r="I74" s="12" t="inlineStr">
        <is>
          <t>Not Run</t>
        </is>
      </c>
      <c r="J74" s="12" t="n"/>
      <c r="K74" s="12" t="n"/>
      <c r="L74" s="12" t="n"/>
      <c r="M74" s="8" t="n"/>
    </row>
    <row r="75">
      <c r="A75" s="7" t="inlineStr">
        <is>
          <t>TC-TWS-06</t>
        </is>
      </c>
      <c r="B75" s="8" t="inlineStr">
        <is>
          <t>Twist mode</t>
        </is>
      </c>
      <c r="C75" s="8" t="inlineStr">
        <is>
          <t>TWS-06</t>
        </is>
      </c>
      <c r="D75" s="8">
        <f>IFERROR(INDEX(Rules!$C$2:$C$104,MATCH(C75,Rules!$A$2:$A$104,0)),"")</f>
        <v/>
      </c>
      <c r="E75" s="8" t="inlineStr">
        <is>
          <t>Dry run 2 min, ON duration 1 min, dry sensor dry</t>
        </is>
      </c>
      <c r="F75" s="8" t="inlineStr">
        <is>
          <t>Start Twist</t>
        </is>
      </c>
      <c r="G75" s="8" t="inlineStr">
        <is>
          <t>Check made at end of the ON period; Twist continues</t>
        </is>
      </c>
      <c r="H75" s="12" t="n"/>
      <c r="I75" s="12" t="inlineStr">
        <is>
          <t>Not Run</t>
        </is>
      </c>
      <c r="J75" s="12" t="n"/>
      <c r="K75" s="12" t="n"/>
      <c r="L75" s="12" t="n"/>
      <c r="M75" s="8" t="n"/>
    </row>
    <row r="76">
      <c r="A76" s="7" t="inlineStr">
        <is>
          <t>TC-TWS-07</t>
        </is>
      </c>
      <c r="B76" s="8" t="inlineStr">
        <is>
          <t>Twist mode</t>
        </is>
      </c>
      <c r="C76" s="8" t="inlineStr">
        <is>
          <t>TWS-07</t>
        </is>
      </c>
      <c r="D76" s="8">
        <f>IFERROR(INDEX(Rules!$C$2:$C$104,MATCH(C76,Rules!$A$2:$A$104,0)),"")</f>
        <v/>
      </c>
      <c r="E76" s="8" t="inlineStr">
        <is>
          <t>Twist running, G.W YES</t>
        </is>
      </c>
      <c r="F76" s="8" t="inlineStr">
        <is>
          <t>Remove G.W, wait 10 s</t>
        </is>
      </c>
      <c r="G76" s="8" t="inlineStr">
        <is>
          <t>Motor OFF and stays OFF</t>
        </is>
      </c>
      <c r="H76" s="12" t="n"/>
      <c r="I76" s="12" t="inlineStr">
        <is>
          <t>Not Run</t>
        </is>
      </c>
      <c r="J76" s="12" t="n"/>
      <c r="K76" s="12" t="n"/>
      <c r="L76" s="12" t="n"/>
      <c r="M76" s="8" t="n"/>
    </row>
    <row r="77">
      <c r="A77" s="7" t="inlineStr">
        <is>
          <t>TC-TWS-08</t>
        </is>
      </c>
      <c r="B77" s="8" t="inlineStr">
        <is>
          <t>Twist mode</t>
        </is>
      </c>
      <c r="C77" s="8" t="inlineStr">
        <is>
          <t>TWS-07</t>
        </is>
      </c>
      <c r="D77" s="8">
        <f>IFERROR(INDEX(Rules!$C$2:$C$104,MATCH(C77,Rules!$A$2:$A$104,0)),"")</f>
        <v/>
      </c>
      <c r="E77" s="8" t="inlineStr">
        <is>
          <t>Twist held by G.W loss</t>
        </is>
      </c>
      <c r="F77" s="8" t="inlineStr">
        <is>
          <t>Reconnect G.W, wait 10 s</t>
        </is>
      </c>
      <c r="G77" s="8" t="inlineStr">
        <is>
          <t>New ON period starts</t>
        </is>
      </c>
      <c r="H77" s="12" t="n"/>
      <c r="I77" s="12" t="inlineStr">
        <is>
          <t>Not Run</t>
        </is>
      </c>
      <c r="J77" s="12" t="n"/>
      <c r="K77" s="12" t="n"/>
      <c r="L77" s="12" t="n"/>
      <c r="M77" s="8" t="n"/>
    </row>
    <row r="78">
      <c r="A78" s="7" t="inlineStr">
        <is>
          <t>TC-TWS-09</t>
        </is>
      </c>
      <c r="B78" s="8" t="inlineStr">
        <is>
          <t>Twist mode</t>
        </is>
      </c>
      <c r="C78" s="8" t="inlineStr">
        <is>
          <t>TWS-08</t>
        </is>
      </c>
      <c r="D78" s="8">
        <f>IFERROR(INDEX(Rules!$C$2:$C$104,MATCH(C78,Rules!$A$2:$A$104,0)),"")</f>
        <v/>
      </c>
      <c r="E78" s="8" t="inlineStr">
        <is>
          <t>G.W probe not fitted</t>
        </is>
      </c>
      <c r="F78" s="8" t="inlineStr">
        <is>
          <t>Run Twist</t>
        </is>
      </c>
      <c r="G78" s="8" t="inlineStr">
        <is>
          <t>Normal ON/OFF cycle</t>
        </is>
      </c>
      <c r="H78" s="12" t="n"/>
      <c r="I78" s="12" t="inlineStr">
        <is>
          <t>Not Run</t>
        </is>
      </c>
      <c r="J78" s="12" t="n"/>
      <c r="K78" s="12" t="n"/>
      <c r="L78" s="12" t="n"/>
      <c r="M78" s="8" t="n"/>
    </row>
    <row r="79">
      <c r="A79" s="7" t="inlineStr">
        <is>
          <t>TC-TWS-10</t>
        </is>
      </c>
      <c r="B79" s="8" t="inlineStr">
        <is>
          <t>Twist mode</t>
        </is>
      </c>
      <c r="C79" s="8" t="inlineStr">
        <is>
          <t>TWS-09</t>
        </is>
      </c>
      <c r="D79" s="8">
        <f>IFERROR(INDEX(Rules!$C$2:$C$104,MATCH(C79,Rules!$A$2:$A$104,0)),"")</f>
        <v/>
      </c>
      <c r="E79" s="8" t="inlineStr">
        <is>
          <t>Twist running</t>
        </is>
      </c>
      <c r="F79" s="8" t="inlineStr">
        <is>
          <t>Raise level to 100%</t>
        </is>
      </c>
      <c r="G79" s="8" t="inlineStr">
        <is>
          <t>Motor OFF</t>
        </is>
      </c>
      <c r="H79" s="12" t="n"/>
      <c r="I79" s="12" t="inlineStr">
        <is>
          <t>Not Run</t>
        </is>
      </c>
      <c r="J79" s="12" t="n"/>
      <c r="K79" s="12" t="n"/>
      <c r="L79" s="12" t="n"/>
      <c r="M79" s="8" t="n"/>
    </row>
    <row r="80">
      <c r="A80" s="7" t="inlineStr">
        <is>
          <t>TC-TWS-11</t>
        </is>
      </c>
      <c r="B80" s="8" t="inlineStr">
        <is>
          <t>Twist mode</t>
        </is>
      </c>
      <c r="C80" s="8" t="inlineStr">
        <is>
          <t>TWS-09</t>
        </is>
      </c>
      <c r="D80" s="8">
        <f>IFERROR(INDEX(Rules!$C$2:$C$104,MATCH(C80,Rules!$A$2:$A$104,0)),"")</f>
        <v/>
      </c>
      <c r="E80" s="8" t="inlineStr">
        <is>
          <t>Twist stopped at 100%</t>
        </is>
      </c>
      <c r="F80" s="8" t="inlineStr">
        <is>
          <t>Lower level to 75%, then 50%</t>
        </is>
      </c>
      <c r="G80" s="8" t="inlineStr">
        <is>
          <t>Motor stays OFF</t>
        </is>
      </c>
      <c r="H80" s="12" t="n"/>
      <c r="I80" s="12" t="inlineStr">
        <is>
          <t>Not Run</t>
        </is>
      </c>
      <c r="J80" s="12" t="n"/>
      <c r="K80" s="12" t="n"/>
      <c r="L80" s="12" t="n"/>
      <c r="M80" s="8" t="n"/>
    </row>
    <row r="81">
      <c r="A81" s="7" t="inlineStr">
        <is>
          <t>TC-TWS-12</t>
        </is>
      </c>
      <c r="B81" s="8" t="inlineStr">
        <is>
          <t>Twist mode</t>
        </is>
      </c>
      <c r="C81" s="8" t="inlineStr">
        <is>
          <t>TWS-09</t>
        </is>
      </c>
      <c r="D81" s="8">
        <f>IFERROR(INDEX(Rules!$C$2:$C$104,MATCH(C81,Rules!$A$2:$A$104,0)),"")</f>
        <v/>
      </c>
      <c r="E81" s="8" t="inlineStr">
        <is>
          <t>Twist stopped at 100%</t>
        </is>
      </c>
      <c r="F81" s="8" t="inlineStr">
        <is>
          <t>Lower level to 25%</t>
        </is>
      </c>
      <c r="G81" s="8" t="inlineStr">
        <is>
          <t>Twist restarts with an ON period</t>
        </is>
      </c>
      <c r="H81" s="12" t="n"/>
      <c r="I81" s="12" t="inlineStr">
        <is>
          <t>Not Run</t>
        </is>
      </c>
      <c r="J81" s="12" t="n"/>
      <c r="K81" s="12" t="n"/>
      <c r="L81" s="12" t="n"/>
      <c r="M81" s="8" t="n"/>
    </row>
    <row r="82">
      <c r="A82" s="7" t="inlineStr">
        <is>
          <t>TC-TWS-13</t>
        </is>
      </c>
      <c r="B82" s="8" t="inlineStr">
        <is>
          <t>Twist mode</t>
        </is>
      </c>
      <c r="C82" s="8" t="inlineStr">
        <is>
          <t>TWS-10</t>
        </is>
      </c>
      <c r="D82" s="8">
        <f>IFERROR(INDEX(Rules!$C$2:$C$104,MATCH(C82,Rules!$A$2:$A$104,0)),"")</f>
        <v/>
      </c>
      <c r="E82" s="8" t="inlineStr">
        <is>
          <t>Twist settings set in app</t>
        </is>
      </c>
      <c r="F82" s="8" t="inlineStr">
        <is>
          <t>Reboot, open app twist page and Menu &gt; Twist</t>
        </is>
      </c>
      <c r="G82" s="8" t="inlineStr">
        <is>
          <t>Same settings shown</t>
        </is>
      </c>
      <c r="H82" s="12" t="n"/>
      <c r="I82" s="12" t="inlineStr">
        <is>
          <t>Not Run</t>
        </is>
      </c>
      <c r="J82" s="12" t="n"/>
      <c r="K82" s="12" t="n"/>
      <c r="L82" s="12" t="n"/>
      <c r="M82" s="8" t="n"/>
    </row>
    <row r="83">
      <c r="A83" s="7" t="inlineStr">
        <is>
          <t>TC-TWS-14</t>
        </is>
      </c>
      <c r="B83" s="8" t="inlineStr">
        <is>
          <t>Twist mode</t>
        </is>
      </c>
      <c r="C83" s="8" t="inlineStr">
        <is>
          <t>TWS-01</t>
        </is>
      </c>
      <c r="D83" s="8">
        <f>IFERROR(INDEX(Rules!$C$2:$C$104,MATCH(C83,Rules!$A$2:$A$104,0)),"")</f>
        <v/>
      </c>
      <c r="E83" s="8" t="inlineStr">
        <is>
          <t>Twist running</t>
        </is>
      </c>
      <c r="F83" s="8" t="inlineStr">
        <is>
          <t>App: Stop Twist</t>
        </is>
      </c>
      <c r="G83" s="8" t="inlineStr">
        <is>
          <t>Twist stops, motor OFF</t>
        </is>
      </c>
      <c r="H83" s="12" t="n"/>
      <c r="I83" s="12" t="inlineStr">
        <is>
          <t>Not Run</t>
        </is>
      </c>
      <c r="J83" s="12" t="n"/>
      <c r="K83" s="12" t="n"/>
      <c r="L83" s="12" t="n"/>
      <c r="M83" s="8" t="n"/>
    </row>
    <row r="84">
      <c r="A84" s="7" t="inlineStr">
        <is>
          <t>TC-TWS-15</t>
        </is>
      </c>
      <c r="B84" s="8" t="inlineStr">
        <is>
          <t>Twist mode</t>
        </is>
      </c>
      <c r="C84" s="8" t="inlineStr">
        <is>
          <t>TWS-11</t>
        </is>
      </c>
      <c r="D84" s="8">
        <f>IFERROR(INDEX(Rules!$C$2:$C$104,MATCH(C84,Rules!$A$2:$A$104,0)),"")</f>
        <v/>
      </c>
      <c r="E84" s="8" t="inlineStr">
        <is>
          <t>PwrRestore ON, Twist ON 10 min, 4 min into the ON period</t>
        </is>
      </c>
      <c r="F84" s="8" t="inlineStr">
        <is>
          <t>Power off for 1 min, then on</t>
        </is>
      </c>
      <c r="G84" s="8" t="inlineStr">
        <is>
          <t>Twist continues the ON period with about 6 min left (up to 1 min extra)</t>
        </is>
      </c>
      <c r="H84" s="12" t="n"/>
      <c r="I84" s="12" t="inlineStr">
        <is>
          <t>Not Run</t>
        </is>
      </c>
      <c r="J84" s="12" t="n"/>
      <c r="K84" s="12" t="n"/>
      <c r="L84" s="12" t="n"/>
      <c r="M84" s="8" t="n"/>
    </row>
    <row r="85">
      <c r="A85" s="7" t="inlineStr">
        <is>
          <t>TC-TWS-16</t>
        </is>
      </c>
      <c r="B85" s="8" t="inlineStr">
        <is>
          <t>Twist mode</t>
        </is>
      </c>
      <c r="C85" s="8" t="inlineStr">
        <is>
          <t>TWS-11</t>
        </is>
      </c>
      <c r="D85" s="8">
        <f>IFERROR(INDEX(Rules!$C$2:$C$104,MATCH(C85,Rules!$A$2:$A$104,0)),"")</f>
        <v/>
      </c>
      <c r="E85" s="8" t="inlineStr">
        <is>
          <t>PwrRestore ON, Twist in its OFF period</t>
        </is>
      </c>
      <c r="F85" s="8" t="inlineStr">
        <is>
          <t>Power off and on</t>
        </is>
      </c>
      <c r="G85" s="8" t="inlineStr">
        <is>
          <t>Motor stays OFF for the rest of the OFF period, then ON</t>
        </is>
      </c>
      <c r="H85" s="12" t="n"/>
      <c r="I85" s="12" t="inlineStr">
        <is>
          <t>Not Run</t>
        </is>
      </c>
      <c r="J85" s="12" t="n"/>
      <c r="K85" s="12" t="n"/>
      <c r="L85" s="12" t="n"/>
      <c r="M85" s="8" t="n"/>
    </row>
    <row r="86">
      <c r="A86" s="7" t="inlineStr">
        <is>
          <t>TC-TWS-17</t>
        </is>
      </c>
      <c r="B86" s="8" t="inlineStr">
        <is>
          <t>Twist mode</t>
        </is>
      </c>
      <c r="C86" s="8" t="inlineStr">
        <is>
          <t>TWS-11</t>
        </is>
      </c>
      <c r="D86" s="8">
        <f>IFERROR(INDEX(Rules!$C$2:$C$104,MATCH(C86,Rules!$A$2:$A$104,0)),"")</f>
        <v/>
      </c>
      <c r="E86" s="8" t="inlineStr">
        <is>
          <t>PwrRestore ON, Twist running</t>
        </is>
      </c>
      <c r="F86" s="8" t="inlineStr">
        <is>
          <t>Power off; power on after the twist stop time</t>
        </is>
      </c>
      <c r="G86" s="8" t="inlineStr">
        <is>
          <t>Twist does not start (outside its time)</t>
        </is>
      </c>
      <c r="H86" s="12" t="n"/>
      <c r="I86" s="12" t="inlineStr">
        <is>
          <t>Not Run</t>
        </is>
      </c>
      <c r="J86" s="12" t="n"/>
      <c r="K86" s="12" t="n"/>
      <c r="L86" s="12" t="n"/>
      <c r="M86" s="8" t="n"/>
    </row>
    <row r="87">
      <c r="A87" s="7" t="inlineStr">
        <is>
          <t>TC-SEMI-01</t>
        </is>
      </c>
      <c r="B87" s="8" t="inlineStr">
        <is>
          <t>Semi-Auto mode</t>
        </is>
      </c>
      <c r="C87" s="8" t="inlineStr">
        <is>
          <t>SEMI-02</t>
        </is>
      </c>
      <c r="D87" s="8">
        <f>IFERROR(INDEX(Rules!$C$2:$C$104,MATCH(C87,Rules!$A$2:$A$104,0)),"")</f>
        <v/>
      </c>
      <c r="E87" s="8" t="inlineStr">
        <is>
          <t>Level 50%</t>
        </is>
      </c>
      <c r="F87" s="8" t="inlineStr">
        <is>
          <t>Hold button 3 for 2 s</t>
        </is>
      </c>
      <c r="G87" s="8" t="inlineStr">
        <is>
          <t>Semi-Auto, motor ON</t>
        </is>
      </c>
      <c r="H87" s="12" t="n"/>
      <c r="I87" s="12" t="inlineStr">
        <is>
          <t>Not Run</t>
        </is>
      </c>
      <c r="J87" s="12" t="n"/>
      <c r="K87" s="12" t="n"/>
      <c r="L87" s="12" t="n"/>
      <c r="M87" s="8" t="n"/>
    </row>
    <row r="88">
      <c r="A88" s="7" t="inlineStr">
        <is>
          <t>TC-SEMI-02</t>
        </is>
      </c>
      <c r="B88" s="8" t="inlineStr">
        <is>
          <t>Semi-Auto mode</t>
        </is>
      </c>
      <c r="C88" s="8" t="inlineStr">
        <is>
          <t>SEMI-04</t>
        </is>
      </c>
      <c r="D88" s="8">
        <f>IFERROR(INDEX(Rules!$C$2:$C$104,MATCH(C88,Rules!$A$2:$A$104,0)),"")</f>
        <v/>
      </c>
      <c r="E88" s="8" t="inlineStr">
        <is>
          <t>Dry run ON, dry sensor dry</t>
        </is>
      </c>
      <c r="F88" s="8" t="inlineStr">
        <is>
          <t>Start Semi-Auto</t>
        </is>
      </c>
      <c r="G88" s="8" t="inlineStr">
        <is>
          <t>Motor OFF after dry run time; Semi-Auto ends</t>
        </is>
      </c>
      <c r="H88" s="12" t="n"/>
      <c r="I88" s="12" t="inlineStr">
        <is>
          <t>Not Run</t>
        </is>
      </c>
      <c r="J88" s="12" t="n"/>
      <c r="K88" s="12" t="n"/>
      <c r="L88" s="12" t="n"/>
      <c r="M88" s="8" t="n"/>
    </row>
    <row r="89">
      <c r="A89" s="7" t="inlineStr">
        <is>
          <t>TC-SEMI-03</t>
        </is>
      </c>
      <c r="B89" s="8" t="inlineStr">
        <is>
          <t>Semi-Auto mode</t>
        </is>
      </c>
      <c r="C89" s="8" t="inlineStr">
        <is>
          <t>SEMI-01</t>
        </is>
      </c>
      <c r="D89" s="8">
        <f>IFERROR(INDEX(Rules!$C$2:$C$104,MATCH(C89,Rules!$A$2:$A$104,0)),"")</f>
        <v/>
      </c>
      <c r="E89" s="8" t="inlineStr">
        <is>
          <t>Semi-Auto running</t>
        </is>
      </c>
      <c r="F89" s="8" t="inlineStr">
        <is>
          <t>Hold button 3 again</t>
        </is>
      </c>
      <c r="G89" s="8" t="inlineStr">
        <is>
          <t>Semi-Auto off, motor OFF</t>
        </is>
      </c>
      <c r="H89" s="12" t="n"/>
      <c r="I89" s="12" t="inlineStr">
        <is>
          <t>Not Run</t>
        </is>
      </c>
      <c r="J89" s="12" t="n"/>
      <c r="K89" s="12" t="n"/>
      <c r="L89" s="12" t="n"/>
      <c r="M89" s="8" t="n"/>
    </row>
    <row r="90">
      <c r="A90" s="7" t="inlineStr">
        <is>
          <t>TC-SEMI-04</t>
        </is>
      </c>
      <c r="B90" s="8" t="inlineStr">
        <is>
          <t>Semi-Auto mode</t>
        </is>
      </c>
      <c r="C90" s="8" t="inlineStr">
        <is>
          <t>SEMI-03</t>
        </is>
      </c>
      <c r="D90" s="8">
        <f>IFERROR(INDEX(Rules!$C$2:$C$104,MATCH(C90,Rules!$A$2:$A$104,0)),"")</f>
        <v/>
      </c>
      <c r="E90" s="8" t="inlineStr">
        <is>
          <t>Semi-Auto running</t>
        </is>
      </c>
      <c r="F90" s="8" t="inlineStr">
        <is>
          <t>Raise level to 100%, then lower to 25%</t>
        </is>
      </c>
      <c r="G90" s="8" t="inlineStr">
        <is>
          <t>Motor OFF at 100% and stays OFF</t>
        </is>
      </c>
      <c r="H90" s="12" t="n"/>
      <c r="I90" s="12" t="inlineStr">
        <is>
          <t>Not Run</t>
        </is>
      </c>
      <c r="J90" s="12" t="n"/>
      <c r="K90" s="12" t="n"/>
      <c r="L90" s="12" t="n"/>
      <c r="M90" s="8" t="n"/>
    </row>
    <row r="91">
      <c r="A91" s="7" t="inlineStr">
        <is>
          <t>TC-SEMI-05</t>
        </is>
      </c>
      <c r="B91" s="8" t="inlineStr">
        <is>
          <t>Semi-Auto mode</t>
        </is>
      </c>
      <c r="C91" s="8" t="inlineStr">
        <is>
          <t>SEMI-05</t>
        </is>
      </c>
      <c r="D91" s="8">
        <f>IFERROR(INDEX(Rules!$C$2:$C$104,MATCH(C91,Rules!$A$2:$A$104,0)),"")</f>
        <v/>
      </c>
      <c r="E91" s="8" t="inlineStr">
        <is>
          <t>Semi-Auto running</t>
        </is>
      </c>
      <c r="F91" s="8" t="inlineStr">
        <is>
          <t>Over-load (or low voltage) until it trips</t>
        </is>
      </c>
      <c r="G91" s="8" t="inlineStr">
        <is>
          <t>Motor OFF; Semi-Auto ends and does not restart when the fault clears</t>
        </is>
      </c>
      <c r="H91" s="12" t="n"/>
      <c r="I91" s="12" t="inlineStr">
        <is>
          <t>Not Run</t>
        </is>
      </c>
      <c r="J91" s="12" t="n"/>
      <c r="K91" s="12" t="n"/>
      <c r="L91" s="12" t="n"/>
      <c r="M91" s="8" t="n"/>
    </row>
    <row r="92">
      <c r="A92" s="7" t="inlineStr">
        <is>
          <t>TC-SEMI-06</t>
        </is>
      </c>
      <c r="B92" s="8" t="inlineStr">
        <is>
          <t>Semi-Auto mode</t>
        </is>
      </c>
      <c r="C92" s="8" t="inlineStr">
        <is>
          <t>SEMI-05</t>
        </is>
      </c>
      <c r="D92" s="8">
        <f>IFERROR(INDEX(Rules!$C$2:$C$104,MATCH(C92,Rules!$A$2:$A$104,0)),"")</f>
        <v/>
      </c>
      <c r="E92" s="8" t="inlineStr">
        <is>
          <t>Max run 5 min</t>
        </is>
      </c>
      <c r="F92" s="8" t="inlineStr">
        <is>
          <t>Run Semi-Auto 5 min</t>
        </is>
      </c>
      <c r="G92" s="8" t="inlineStr">
        <is>
          <t>Motor OFF; Semi-Auto ends</t>
        </is>
      </c>
      <c r="H92" s="12" t="n"/>
      <c r="I92" s="12" t="inlineStr">
        <is>
          <t>Not Run</t>
        </is>
      </c>
      <c r="J92" s="12" t="n"/>
      <c r="K92" s="12" t="n"/>
      <c r="L92" s="12" t="n"/>
      <c r="M92" s="8" t="n"/>
    </row>
    <row r="93">
      <c r="A93" s="7" t="inlineStr">
        <is>
          <t>TC-SEMI-07</t>
        </is>
      </c>
      <c r="B93" s="8" t="inlineStr">
        <is>
          <t>Semi-Auto mode</t>
        </is>
      </c>
      <c r="C93" s="8" t="inlineStr">
        <is>
          <t>SEMI-06</t>
        </is>
      </c>
      <c r="D93" s="8">
        <f>IFERROR(INDEX(Rules!$C$2:$C$104,MATCH(C93,Rules!$A$2:$A$104,0)),"")</f>
        <v/>
      </c>
      <c r="E93" s="8" t="inlineStr">
        <is>
          <t>PwrRestore ON, Semi-Auto motor running</t>
        </is>
      </c>
      <c r="F93" s="8" t="inlineStr">
        <is>
          <t>Power off and on</t>
        </is>
      </c>
      <c r="G93" s="8" t="inlineStr">
        <is>
          <t>Semi-Auto runs again after 10 s</t>
        </is>
      </c>
      <c r="H93" s="12" t="n"/>
      <c r="I93" s="12" t="inlineStr">
        <is>
          <t>Not Run</t>
        </is>
      </c>
      <c r="J93" s="12" t="n"/>
      <c r="K93" s="12" t="n"/>
      <c r="L93" s="12" t="n"/>
      <c r="M93" s="8" t="n"/>
    </row>
    <row r="94">
      <c r="A94" s="7" t="inlineStr">
        <is>
          <t>TC-SEMI-08</t>
        </is>
      </c>
      <c r="B94" s="8" t="inlineStr">
        <is>
          <t>Semi-Auto mode</t>
        </is>
      </c>
      <c r="C94" s="8" t="inlineStr">
        <is>
          <t>SEMI-06</t>
        </is>
      </c>
      <c r="D94" s="8">
        <f>IFERROR(INDEX(Rules!$C$2:$C$104,MATCH(C94,Rules!$A$2:$A$104,0)),"")</f>
        <v/>
      </c>
      <c r="E94" s="8" t="inlineStr">
        <is>
          <t>PwrRestore ON, Semi-Auto stopped at tank full</t>
        </is>
      </c>
      <c r="F94" s="8" t="inlineStr">
        <is>
          <t>Power off and on</t>
        </is>
      </c>
      <c r="G94" s="8" t="inlineStr">
        <is>
          <t>Semi-Auto not resumed; motor OFF</t>
        </is>
      </c>
      <c r="H94" s="12" t="n"/>
      <c r="I94" s="12" t="inlineStr">
        <is>
          <t>Not Run</t>
        </is>
      </c>
      <c r="J94" s="12" t="n"/>
      <c r="K94" s="12" t="n"/>
      <c r="L94" s="12" t="n"/>
      <c r="M94" s="8" t="n"/>
    </row>
    <row r="95">
      <c r="A95" s="7" t="inlineStr">
        <is>
          <t>TC-CD-01</t>
        </is>
      </c>
      <c r="B95" s="8" t="inlineStr">
        <is>
          <t>Countdown mode</t>
        </is>
      </c>
      <c r="C95" s="8" t="inlineStr">
        <is>
          <t>CD-01</t>
        </is>
      </c>
      <c r="D95" s="8">
        <f>IFERROR(INDEX(Rules!$C$2:$C$104,MATCH(C95,Rules!$A$2:$A$104,0)),"")</f>
        <v/>
      </c>
      <c r="E95" s="8" t="inlineStr">
        <is>
          <t>Saved countdown time 10 min</t>
        </is>
      </c>
      <c r="F95" s="8" t="inlineStr">
        <is>
          <t>Short press button 4</t>
        </is>
      </c>
      <c r="G95" s="8" t="inlineStr">
        <is>
          <t>Motor ON; countdown 10:00 shown</t>
        </is>
      </c>
      <c r="H95" s="12" t="n"/>
      <c r="I95" s="12" t="inlineStr">
        <is>
          <t>Not Run</t>
        </is>
      </c>
      <c r="J95" s="12" t="n"/>
      <c r="K95" s="12" t="n"/>
      <c r="L95" s="12" t="n"/>
      <c r="M95" s="8" t="n"/>
    </row>
    <row r="96">
      <c r="A96" s="7" t="inlineStr">
        <is>
          <t>TC-CD-02</t>
        </is>
      </c>
      <c r="B96" s="8" t="inlineStr">
        <is>
          <t>Countdown mode</t>
        </is>
      </c>
      <c r="C96" s="8" t="inlineStr">
        <is>
          <t>CD-02</t>
        </is>
      </c>
      <c r="D96" s="8">
        <f>IFERROR(INDEX(Rules!$C$2:$C$104,MATCH(C96,Rules!$A$2:$A$104,0)),"")</f>
        <v/>
      </c>
      <c r="E96" s="8" t="inlineStr">
        <is>
          <t>Countdown 1 min</t>
        </is>
      </c>
      <c r="F96" s="8" t="inlineStr">
        <is>
          <t>Wait 1 min</t>
        </is>
      </c>
      <c r="G96" s="8" t="inlineStr">
        <is>
          <t>Motor OFF when time ends</t>
        </is>
      </c>
      <c r="H96" s="12" t="n"/>
      <c r="I96" s="12" t="inlineStr">
        <is>
          <t>Not Run</t>
        </is>
      </c>
      <c r="J96" s="12" t="n"/>
      <c r="K96" s="12" t="n"/>
      <c r="L96" s="12" t="n"/>
      <c r="M96" s="8" t="n"/>
    </row>
    <row r="97">
      <c r="A97" s="7" t="inlineStr">
        <is>
          <t>TC-CD-03</t>
        </is>
      </c>
      <c r="B97" s="8" t="inlineStr">
        <is>
          <t>Countdown mode</t>
        </is>
      </c>
      <c r="C97" s="8" t="inlineStr">
        <is>
          <t>CD-02</t>
        </is>
      </c>
      <c r="D97" s="8">
        <f>IFERROR(INDEX(Rules!$C$2:$C$104,MATCH(C97,Rules!$A$2:$A$104,0)),"")</f>
        <v/>
      </c>
      <c r="E97" s="8" t="inlineStr">
        <is>
          <t>Countdown running (no mode before it)</t>
        </is>
      </c>
      <c r="F97" s="8" t="inlineStr">
        <is>
          <t>Press button 4</t>
        </is>
      </c>
      <c r="G97" s="8" t="inlineStr">
        <is>
          <t>Countdown stops, motor OFF</t>
        </is>
      </c>
      <c r="H97" s="12" t="n"/>
      <c r="I97" s="12" t="inlineStr">
        <is>
          <t>Not Run</t>
        </is>
      </c>
      <c r="J97" s="12" t="n"/>
      <c r="K97" s="12" t="n"/>
      <c r="L97" s="12" t="n"/>
      <c r="M97" s="8" t="n"/>
    </row>
    <row r="98">
      <c r="A98" s="7" t="inlineStr">
        <is>
          <t>TC-CD-04</t>
        </is>
      </c>
      <c r="B98" s="8" t="inlineStr">
        <is>
          <t>Countdown mode</t>
        </is>
      </c>
      <c r="C98" s="8" t="inlineStr">
        <is>
          <t>CD-02</t>
        </is>
      </c>
      <c r="D98" s="8">
        <f>IFERROR(INDEX(Rules!$C$2:$C$104,MATCH(C98,Rules!$A$2:$A$104,0)),"")</f>
        <v/>
      </c>
      <c r="E98" s="8" t="inlineStr">
        <is>
          <t>Auto running, then countdown started</t>
        </is>
      </c>
      <c r="F98" s="8" t="inlineStr">
        <is>
          <t>Press button 4 to stop the countdown early</t>
        </is>
      </c>
      <c r="G98" s="8" t="inlineStr">
        <is>
          <t>Back in Auto; screen shows AUTO</t>
        </is>
      </c>
      <c r="H98" s="12" t="n"/>
      <c r="I98" s="12" t="inlineStr">
        <is>
          <t>Not Run</t>
        </is>
      </c>
      <c r="J98" s="12" t="n"/>
      <c r="K98" s="12" t="n"/>
      <c r="L98" s="12" t="n"/>
      <c r="M98" s="8" t="n"/>
    </row>
    <row r="99">
      <c r="A99" s="7" t="inlineStr">
        <is>
          <t>TC-CD-05</t>
        </is>
      </c>
      <c r="B99" s="8" t="inlineStr">
        <is>
          <t>Countdown mode</t>
        </is>
      </c>
      <c r="C99" s="8" t="inlineStr">
        <is>
          <t>CD-02</t>
        </is>
      </c>
      <c r="D99" s="8">
        <f>IFERROR(INDEX(Rules!$C$2:$C$104,MATCH(C99,Rules!$A$2:$A$104,0)),"")</f>
        <v/>
      </c>
      <c r="E99" s="8" t="inlineStr">
        <is>
          <t>Auto switched off with button 2 (AUTO M:OFF), then countdown 1 min</t>
        </is>
      </c>
      <c r="F99" s="8" t="inlineStr">
        <is>
          <t>Wait until the countdown ends</t>
        </is>
      </c>
      <c r="G99" s="8" t="inlineStr">
        <is>
          <t>Screen shows AUTO M:OFF again</t>
        </is>
      </c>
      <c r="H99" s="12" t="n"/>
      <c r="I99" s="12" t="inlineStr">
        <is>
          <t>Not Run</t>
        </is>
      </c>
      <c r="J99" s="12" t="n"/>
      <c r="K99" s="12" t="n"/>
      <c r="L99" s="12" t="n"/>
      <c r="M99" s="8" t="n"/>
    </row>
    <row r="100">
      <c r="A100" s="7" t="inlineStr">
        <is>
          <t>TC-CD-06</t>
        </is>
      </c>
      <c r="B100" s="8" t="inlineStr">
        <is>
          <t>Countdown mode</t>
        </is>
      </c>
      <c r="C100" s="8" t="inlineStr">
        <is>
          <t>CD-08</t>
        </is>
      </c>
      <c r="D100" s="8">
        <f>IFERROR(INDEX(Rules!$C$2:$C$104,MATCH(C100,Rules!$A$2:$A$104,0)),"")</f>
        <v/>
      </c>
      <c r="E100" s="8" t="inlineStr">
        <is>
          <t>App connected</t>
        </is>
      </c>
      <c r="F100" s="8" t="inlineStr">
        <is>
          <t>Start countdown 5 min from the app</t>
        </is>
      </c>
      <c r="G100" s="8" t="inlineStr">
        <is>
          <t>Device screen shows the time left counting down</t>
        </is>
      </c>
      <c r="H100" s="12" t="n"/>
      <c r="I100" s="12" t="inlineStr">
        <is>
          <t>Not Run</t>
        </is>
      </c>
      <c r="J100" s="12" t="n"/>
      <c r="K100" s="12" t="n"/>
      <c r="L100" s="12" t="n"/>
      <c r="M100" s="8" t="n"/>
    </row>
    <row r="101">
      <c r="A101" s="7" t="inlineStr">
        <is>
          <t>TC-CD-07</t>
        </is>
      </c>
      <c r="B101" s="8" t="inlineStr">
        <is>
          <t>Countdown mode</t>
        </is>
      </c>
      <c r="C101" s="8" t="inlineStr">
        <is>
          <t>CD-08</t>
        </is>
      </c>
      <c r="D101" s="8">
        <f>IFERROR(INDEX(Rules!$C$2:$C$104,MATCH(C101,Rules!$A$2:$A$104,0)),"")</f>
        <v/>
      </c>
      <c r="E101" s="8" t="inlineStr">
        <is>
          <t>PwrRestore ON, countdown running</t>
        </is>
      </c>
      <c r="F101" s="8" t="inlineStr">
        <is>
          <t>Power off and on</t>
        </is>
      </c>
      <c r="G101" s="8" t="inlineStr">
        <is>
          <t>After the welcome screen, the countdown screen shows the time left</t>
        </is>
      </c>
      <c r="H101" s="12" t="n"/>
      <c r="I101" s="12" t="inlineStr">
        <is>
          <t>Not Run</t>
        </is>
      </c>
      <c r="J101" s="12" t="n"/>
      <c r="K101" s="12" t="n"/>
      <c r="L101" s="12" t="n"/>
      <c r="M101" s="8" t="n"/>
    </row>
    <row r="102">
      <c r="A102" s="7" t="inlineStr">
        <is>
          <t>TC-CD-08</t>
        </is>
      </c>
      <c r="B102" s="8" t="inlineStr">
        <is>
          <t>Countdown mode</t>
        </is>
      </c>
      <c r="C102" s="8" t="inlineStr">
        <is>
          <t>CD-02</t>
        </is>
      </c>
      <c r="D102" s="8">
        <f>IFERROR(INDEX(Rules!$C$2:$C$104,MATCH(C102,Rules!$A$2:$A$104,0)),"")</f>
        <v/>
      </c>
      <c r="E102" s="8" t="inlineStr">
        <is>
          <t>Auto running at 75% (motor off)</t>
        </is>
      </c>
      <c r="F102" s="8" t="inlineStr">
        <is>
          <t>Start countdown 1 min, wait until it ends</t>
        </is>
      </c>
      <c r="G102" s="8" t="inlineStr">
        <is>
          <t>Motor OFF at the end; device back in Auto (screen AUTO)</t>
        </is>
      </c>
      <c r="H102" s="12" t="n"/>
      <c r="I102" s="12" t="inlineStr">
        <is>
          <t>Not Run</t>
        </is>
      </c>
      <c r="J102" s="12" t="n"/>
      <c r="K102" s="12" t="n"/>
      <c r="L102" s="12" t="n"/>
      <c r="M102" s="8" t="n"/>
    </row>
    <row r="103">
      <c r="A103" s="7" t="inlineStr">
        <is>
          <t>TC-CD-09</t>
        </is>
      </c>
      <c r="B103" s="8" t="inlineStr">
        <is>
          <t>Countdown mode</t>
        </is>
      </c>
      <c r="C103" s="8" t="inlineStr">
        <is>
          <t>CD-02</t>
        </is>
      </c>
      <c r="D103" s="8">
        <f>IFERROR(INDEX(Rules!$C$2:$C$104,MATCH(C103,Rules!$A$2:$A$104,0)),"")</f>
        <v/>
      </c>
      <c r="E103" s="8" t="inlineStr">
        <is>
          <t>Timer mode on</t>
        </is>
      </c>
      <c r="F103" s="8" t="inlineStr">
        <is>
          <t>Start countdown 1 min, wait until it ends</t>
        </is>
      </c>
      <c r="G103" s="8" t="inlineStr">
        <is>
          <t>Back in Timer mode</t>
        </is>
      </c>
      <c r="H103" s="12" t="n"/>
      <c r="I103" s="12" t="inlineStr">
        <is>
          <t>Not Run</t>
        </is>
      </c>
      <c r="J103" s="12" t="n"/>
      <c r="K103" s="12" t="n"/>
      <c r="L103" s="12" t="n"/>
      <c r="M103" s="8" t="n"/>
    </row>
    <row r="104">
      <c r="A104" s="7" t="inlineStr">
        <is>
          <t>TC-CD-10</t>
        </is>
      </c>
      <c r="B104" s="8" t="inlineStr">
        <is>
          <t>Countdown mode</t>
        </is>
      </c>
      <c r="C104" s="8" t="inlineStr">
        <is>
          <t>CD-02</t>
        </is>
      </c>
      <c r="D104" s="8">
        <f>IFERROR(INDEX(Rules!$C$2:$C$104,MATCH(C104,Rules!$A$2:$A$104,0)),"")</f>
        <v/>
      </c>
      <c r="E104" s="8" t="inlineStr">
        <is>
          <t>No mode running</t>
        </is>
      </c>
      <c r="F104" s="8" t="inlineStr">
        <is>
          <t>Start countdown 1 min, wait until it ends</t>
        </is>
      </c>
      <c r="G104" s="8" t="inlineStr">
        <is>
          <t>Motor OFF; no mode running</t>
        </is>
      </c>
      <c r="H104" s="12" t="n"/>
      <c r="I104" s="12" t="inlineStr">
        <is>
          <t>Not Run</t>
        </is>
      </c>
      <c r="J104" s="12" t="n"/>
      <c r="K104" s="12" t="n"/>
      <c r="L104" s="12" t="n"/>
      <c r="M104" s="8" t="n"/>
    </row>
    <row r="105">
      <c r="A105" s="7" t="inlineStr">
        <is>
          <t>TC-CD-11</t>
        </is>
      </c>
      <c r="B105" s="8" t="inlineStr">
        <is>
          <t>Countdown mode</t>
        </is>
      </c>
      <c r="C105" s="8" t="inlineStr">
        <is>
          <t>CD-07</t>
        </is>
      </c>
      <c r="D105" s="8">
        <f>IFERROR(INDEX(Rules!$C$2:$C$104,MATCH(C105,Rules!$A$2:$A$104,0)),"")</f>
        <v/>
      </c>
      <c r="E105" s="8" t="inlineStr">
        <is>
          <t>PwrRestore ON, Auto, then countdown 10 min started</t>
        </is>
      </c>
      <c r="F105" s="8" t="inlineStr">
        <is>
          <t>After 4 min switch power off for 1 min, then on</t>
        </is>
      </c>
      <c r="G105" s="8" t="inlineStr">
        <is>
          <t>Countdown continues with about 6 min left (up to 1 min extra); at the end back to Auto</t>
        </is>
      </c>
      <c r="H105" s="12" t="n"/>
      <c r="I105" s="12" t="inlineStr">
        <is>
          <t>Not Run</t>
        </is>
      </c>
      <c r="J105" s="12" t="n"/>
      <c r="K105" s="12" t="n"/>
      <c r="L105" s="12" t="n"/>
      <c r="M105" s="8" t="n"/>
    </row>
    <row r="106">
      <c r="A106" s="7" t="inlineStr">
        <is>
          <t>TC-CD-12</t>
        </is>
      </c>
      <c r="B106" s="8" t="inlineStr">
        <is>
          <t>Countdown mode</t>
        </is>
      </c>
      <c r="C106" s="8" t="inlineStr">
        <is>
          <t>CD-07</t>
        </is>
      </c>
      <c r="D106" s="8">
        <f>IFERROR(INDEX(Rules!$C$2:$C$104,MATCH(C106,Rules!$A$2:$A$104,0)),"")</f>
        <v/>
      </c>
      <c r="E106" s="8" t="inlineStr">
        <is>
          <t>PwrRestore OFF, countdown running</t>
        </is>
      </c>
      <c r="F106" s="8" t="inlineStr">
        <is>
          <t>Power off and on</t>
        </is>
      </c>
      <c r="G106" s="8" t="inlineStr">
        <is>
          <t>Manual, motor OFF (countdown not resumed)</t>
        </is>
      </c>
      <c r="H106" s="12" t="n"/>
      <c r="I106" s="12" t="inlineStr">
        <is>
          <t>Not Run</t>
        </is>
      </c>
      <c r="J106" s="12" t="n"/>
      <c r="K106" s="12" t="n"/>
      <c r="L106" s="12" t="n"/>
      <c r="M106" s="8" t="n"/>
    </row>
    <row r="107">
      <c r="A107" s="7" t="inlineStr">
        <is>
          <t>TC-CD-13</t>
        </is>
      </c>
      <c r="B107" s="8" t="inlineStr">
        <is>
          <t>Countdown mode</t>
        </is>
      </c>
      <c r="C107" s="8" t="inlineStr">
        <is>
          <t>CD-04</t>
        </is>
      </c>
      <c r="D107" s="8">
        <f>IFERROR(INDEX(Rules!$C$2:$C$104,MATCH(C107,Rules!$A$2:$A$104,0)),"")</f>
        <v/>
      </c>
      <c r="E107" s="8" t="inlineStr">
        <is>
          <t>Dashboard</t>
        </is>
      </c>
      <c r="F107" s="8" t="inlineStr">
        <is>
          <t>Hold button 4, set 15 with Down/Up, Select</t>
        </is>
      </c>
      <c r="G107" s="8" t="inlineStr">
        <is>
          <t>Countdown 15 min starts</t>
        </is>
      </c>
      <c r="H107" s="12" t="n"/>
      <c r="I107" s="12" t="inlineStr">
        <is>
          <t>Not Run</t>
        </is>
      </c>
      <c r="J107" s="12" t="n"/>
      <c r="K107" s="12" t="n"/>
      <c r="L107" s="12" t="n"/>
      <c r="M107" s="8" t="n"/>
    </row>
    <row r="108">
      <c r="A108" s="7" t="inlineStr">
        <is>
          <t>TC-CD-14</t>
        </is>
      </c>
      <c r="B108" s="8" t="inlineStr">
        <is>
          <t>Countdown mode</t>
        </is>
      </c>
      <c r="C108" s="8" t="inlineStr">
        <is>
          <t>CD-04</t>
        </is>
      </c>
      <c r="D108" s="8">
        <f>IFERROR(INDEX(Rules!$C$2:$C$104,MATCH(C108,Rules!$A$2:$A$104,0)),"")</f>
        <v/>
      </c>
      <c r="E108" s="8" t="inlineStr">
        <is>
          <t>Countdown time set to 15</t>
        </is>
      </c>
      <c r="F108" s="8" t="inlineStr">
        <is>
          <t>Reboot, then short press button 4</t>
        </is>
      </c>
      <c r="G108" s="8" t="inlineStr">
        <is>
          <t>Countdown 15 min starts</t>
        </is>
      </c>
      <c r="H108" s="12" t="n"/>
      <c r="I108" s="12" t="inlineStr">
        <is>
          <t>Not Run</t>
        </is>
      </c>
      <c r="J108" s="12" t="n"/>
      <c r="K108" s="12" t="n"/>
      <c r="L108" s="12" t="n"/>
      <c r="M108" s="8" t="n"/>
    </row>
    <row r="109">
      <c r="A109" s="7" t="inlineStr">
        <is>
          <t>TC-CD-15</t>
        </is>
      </c>
      <c r="B109" s="8" t="inlineStr">
        <is>
          <t>Countdown mode</t>
        </is>
      </c>
      <c r="C109" s="8" t="inlineStr">
        <is>
          <t>CD-04</t>
        </is>
      </c>
      <c r="D109" s="8">
        <f>IFERROR(INDEX(Rules!$C$2:$C$104,MATCH(C109,Rules!$A$2:$A$104,0)),"")</f>
        <v/>
      </c>
      <c r="E109" s="8" t="inlineStr">
        <is>
          <t>App connected</t>
        </is>
      </c>
      <c r="F109" s="8" t="inlineStr">
        <is>
          <t>App: start countdown 20 min, stop it, then press button 4</t>
        </is>
      </c>
      <c r="G109" s="8" t="inlineStr">
        <is>
          <t>Button starts 20 min</t>
        </is>
      </c>
      <c r="H109" s="12" t="n"/>
      <c r="I109" s="12" t="inlineStr">
        <is>
          <t>Not Run</t>
        </is>
      </c>
      <c r="J109" s="12" t="n"/>
      <c r="K109" s="12" t="n"/>
      <c r="L109" s="12" t="n"/>
      <c r="M109" s="8" t="n"/>
    </row>
    <row r="110">
      <c r="A110" s="7" t="inlineStr">
        <is>
          <t>TC-CD-16</t>
        </is>
      </c>
      <c r="B110" s="8" t="inlineStr">
        <is>
          <t>Countdown mode</t>
        </is>
      </c>
      <c r="C110" s="8" t="inlineStr">
        <is>
          <t>CD-05</t>
        </is>
      </c>
      <c r="D110" s="8">
        <f>IFERROR(INDEX(Rules!$C$2:$C$104,MATCH(C110,Rules!$A$2:$A$104,0)),"")</f>
        <v/>
      </c>
      <c r="E110" s="8" t="inlineStr">
        <is>
          <t>Dry run ON, dry sensor dry</t>
        </is>
      </c>
      <c r="F110" s="8" t="inlineStr">
        <is>
          <t>Start countdown 10 min</t>
        </is>
      </c>
      <c r="G110" s="8" t="inlineStr">
        <is>
          <t>Motor OFF after dry run time; Countdown ends</t>
        </is>
      </c>
      <c r="H110" s="12" t="n"/>
      <c r="I110" s="12" t="inlineStr">
        <is>
          <t>Not Run</t>
        </is>
      </c>
      <c r="J110" s="12" t="n"/>
      <c r="K110" s="12" t="n"/>
      <c r="L110" s="12" t="n"/>
      <c r="M110" s="8" t="n"/>
    </row>
    <row r="111">
      <c r="A111" s="7" t="inlineStr">
        <is>
          <t>TC-CD-17</t>
        </is>
      </c>
      <c r="B111" s="8" t="inlineStr">
        <is>
          <t>Countdown mode</t>
        </is>
      </c>
      <c r="C111" s="8" t="inlineStr">
        <is>
          <t>CD-03</t>
        </is>
      </c>
      <c r="D111" s="8">
        <f>IFERROR(INDEX(Rules!$C$2:$C$104,MATCH(C111,Rules!$A$2:$A$104,0)),"")</f>
        <v/>
      </c>
      <c r="E111" s="8" t="inlineStr">
        <is>
          <t>Auto waiting at 75%, countdown 10 min running</t>
        </is>
      </c>
      <c r="F111" s="8" t="inlineStr">
        <is>
          <t>Raise level to 100%</t>
        </is>
      </c>
      <c r="G111" s="8" t="inlineStr">
        <is>
          <t>Countdown ends; back to Auto (motor OFF because full)</t>
        </is>
      </c>
      <c r="H111" s="12" t="n"/>
      <c r="I111" s="12" t="inlineStr">
        <is>
          <t>Not Run</t>
        </is>
      </c>
      <c r="J111" s="12" t="n"/>
      <c r="K111" s="12" t="n"/>
      <c r="L111" s="12" t="n"/>
      <c r="M111" s="8" t="n"/>
    </row>
    <row r="112">
      <c r="A112" s="7" t="inlineStr">
        <is>
          <t>TC-CD-18</t>
        </is>
      </c>
      <c r="B112" s="8" t="inlineStr">
        <is>
          <t>Countdown mode</t>
        </is>
      </c>
      <c r="C112" s="8" t="inlineStr">
        <is>
          <t>CD-06</t>
        </is>
      </c>
      <c r="D112" s="8">
        <f>IFERROR(INDEX(Rules!$C$2:$C$104,MATCH(C112,Rules!$A$2:$A$104,0)),"")</f>
        <v/>
      </c>
      <c r="E112" s="8" t="inlineStr">
        <is>
          <t>Countdown running</t>
        </is>
      </c>
      <c r="F112" s="8" t="inlineStr">
        <is>
          <t>Over-load</t>
        </is>
      </c>
      <c r="G112" s="8" t="inlineStr">
        <is>
          <t>Motor OFF; Countdown ends; previous mode</t>
        </is>
      </c>
      <c r="H112" s="12" t="n"/>
      <c r="I112" s="12" t="inlineStr">
        <is>
          <t>Not Run</t>
        </is>
      </c>
      <c r="J112" s="12" t="n"/>
      <c r="K112" s="12" t="n"/>
      <c r="L112" s="12" t="n"/>
      <c r="M112" s="8" t="n"/>
    </row>
    <row r="113">
      <c r="A113" s="7" t="inlineStr">
        <is>
          <t>TC-CD-19</t>
        </is>
      </c>
      <c r="B113" s="8" t="inlineStr">
        <is>
          <t>Countdown mode</t>
        </is>
      </c>
      <c r="C113" s="8" t="inlineStr">
        <is>
          <t>CD-06</t>
        </is>
      </c>
      <c r="D113" s="8">
        <f>IFERROR(INDEX(Rules!$C$2:$C$104,MATCH(C113,Rules!$A$2:$A$104,0)),"")</f>
        <v/>
      </c>
      <c r="E113" s="8" t="inlineStr">
        <is>
          <t>Max run 5 min, countdown 10 min</t>
        </is>
      </c>
      <c r="F113" s="8" t="inlineStr">
        <is>
          <t>Run countdown</t>
        </is>
      </c>
      <c r="G113" s="8" t="inlineStr">
        <is>
          <t>Motor OFF after 5 min; Countdown ends; previous mode</t>
        </is>
      </c>
      <c r="H113" s="12" t="n"/>
      <c r="I113" s="12" t="inlineStr">
        <is>
          <t>Not Run</t>
        </is>
      </c>
      <c r="J113" s="12" t="n"/>
      <c r="K113" s="12" t="n"/>
      <c r="L113" s="12" t="n"/>
      <c r="M113" s="8" t="n"/>
    </row>
    <row r="114">
      <c r="A114" s="7" t="inlineStr">
        <is>
          <t>TC-REF-01</t>
        </is>
      </c>
      <c r="B114" s="8" t="inlineStr">
        <is>
          <t>Refill</t>
        </is>
      </c>
      <c r="C114" s="8" t="inlineStr">
        <is>
          <t>REF-01</t>
        </is>
      </c>
      <c r="D114" s="8">
        <f>IFERROR(INDEX(Rules!$C$2:$C$104,MATCH(C114,Rules!$A$2:$A$104,0)),"")</f>
        <v/>
      </c>
      <c r="E114" s="8" t="inlineStr">
        <is>
          <t>Auto waiting at 75%</t>
        </is>
      </c>
      <c r="F114" s="8" t="inlineStr">
        <is>
          <t>Short press button 1</t>
        </is>
      </c>
      <c r="G114" s="8" t="inlineStr">
        <is>
          <t>Refill, motor ON</t>
        </is>
      </c>
      <c r="H114" s="12" t="n"/>
      <c r="I114" s="12" t="inlineStr">
        <is>
          <t>Not Run</t>
        </is>
      </c>
      <c r="J114" s="12" t="n"/>
      <c r="K114" s="12" t="n"/>
      <c r="L114" s="12" t="n"/>
      <c r="M114" s="8" t="n"/>
    </row>
    <row r="115">
      <c r="A115" s="7" t="inlineStr">
        <is>
          <t>TC-REF-02</t>
        </is>
      </c>
      <c r="B115" s="8" t="inlineStr">
        <is>
          <t>Refill</t>
        </is>
      </c>
      <c r="C115" s="8" t="inlineStr">
        <is>
          <t>REF-02</t>
        </is>
      </c>
      <c r="D115" s="8">
        <f>IFERROR(INDEX(Rules!$C$2:$C$104,MATCH(C115,Rules!$A$2:$A$104,0)),"")</f>
        <v/>
      </c>
      <c r="E115" s="8" t="inlineStr">
        <is>
          <t>Refill running from Auto</t>
        </is>
      </c>
      <c r="F115" s="8" t="inlineStr">
        <is>
          <t>Raise level to 100%</t>
        </is>
      </c>
      <c r="G115" s="8" t="inlineStr">
        <is>
          <t>Motor OFF; back to Auto</t>
        </is>
      </c>
      <c r="H115" s="12" t="n"/>
      <c r="I115" s="12" t="inlineStr">
        <is>
          <t>Not Run</t>
        </is>
      </c>
      <c r="J115" s="12" t="n"/>
      <c r="K115" s="12" t="n"/>
      <c r="L115" s="12" t="n"/>
      <c r="M115" s="8" t="n"/>
    </row>
    <row r="116">
      <c r="A116" s="7" t="inlineStr">
        <is>
          <t>TC-REF-03</t>
        </is>
      </c>
      <c r="B116" s="8" t="inlineStr">
        <is>
          <t>Refill</t>
        </is>
      </c>
      <c r="C116" s="8" t="inlineStr">
        <is>
          <t>REF-01</t>
        </is>
      </c>
      <c r="D116" s="8">
        <f>IFERROR(INDEX(Rules!$C$2:$C$104,MATCH(C116,Rules!$A$2:$A$104,0)),"")</f>
        <v/>
      </c>
      <c r="E116" s="8" t="inlineStr">
        <is>
          <t>Level 100%</t>
        </is>
      </c>
      <c r="F116" s="8" t="inlineStr">
        <is>
          <t>Short press button 1</t>
        </is>
      </c>
      <c r="G116" s="8" t="inlineStr">
        <is>
          <t>Refill does not start</t>
        </is>
      </c>
      <c r="H116" s="12" t="n"/>
      <c r="I116" s="12" t="inlineStr">
        <is>
          <t>Not Run</t>
        </is>
      </c>
      <c r="J116" s="12" t="n"/>
      <c r="K116" s="12" t="n"/>
      <c r="L116" s="12" t="n"/>
      <c r="M116" s="8" t="n"/>
    </row>
    <row r="117">
      <c r="A117" s="7" t="inlineStr">
        <is>
          <t>TC-REF-04</t>
        </is>
      </c>
      <c r="B117" s="8" t="inlineStr">
        <is>
          <t>Refill</t>
        </is>
      </c>
      <c r="C117" s="8" t="inlineStr">
        <is>
          <t>REF-04</t>
        </is>
      </c>
      <c r="D117" s="8">
        <f>IFERROR(INDEX(Rules!$C$2:$C$104,MATCH(C117,Rules!$A$2:$A$104,0)),"")</f>
        <v/>
      </c>
      <c r="E117" s="8" t="inlineStr">
        <is>
          <t>Dry run ON, dry sensor dry</t>
        </is>
      </c>
      <c r="F117" s="8" t="inlineStr">
        <is>
          <t>Start Refill</t>
        </is>
      </c>
      <c r="G117" s="8" t="inlineStr">
        <is>
          <t>Refill ends after dry run time; previous mode</t>
        </is>
      </c>
      <c r="H117" s="12" t="n"/>
      <c r="I117" s="12" t="inlineStr">
        <is>
          <t>Not Run</t>
        </is>
      </c>
      <c r="J117" s="12" t="n"/>
      <c r="K117" s="12" t="n"/>
      <c r="L117" s="12" t="n"/>
      <c r="M117" s="8" t="n"/>
    </row>
    <row r="118">
      <c r="A118" s="7" t="inlineStr">
        <is>
          <t>TC-REF-05</t>
        </is>
      </c>
      <c r="B118" s="8" t="inlineStr">
        <is>
          <t>Refill</t>
        </is>
      </c>
      <c r="C118" s="8" t="inlineStr">
        <is>
          <t>REF-00</t>
        </is>
      </c>
      <c r="D118" s="8">
        <f>IFERROR(INDEX(Rules!$C$2:$C$104,MATCH(C118,Rules!$A$2:$A$104,0)),"")</f>
        <v/>
      </c>
      <c r="E118" s="8" t="inlineStr">
        <is>
          <t>Timer mode on, no slot active</t>
        </is>
      </c>
      <c r="F118" s="8" t="inlineStr">
        <is>
          <t>Short press button 1</t>
        </is>
      </c>
      <c r="G118" s="8" t="inlineStr">
        <is>
          <t>Screen shows Refill, motor ON; at 100% back to TIMER</t>
        </is>
      </c>
      <c r="H118" s="12" t="n"/>
      <c r="I118" s="12" t="inlineStr">
        <is>
          <t>Not Run</t>
        </is>
      </c>
      <c r="J118" s="12" t="n"/>
      <c r="K118" s="12" t="n"/>
      <c r="L118" s="12" t="n"/>
      <c r="M118" s="8" t="n"/>
    </row>
    <row r="119">
      <c r="A119" s="7" t="inlineStr">
        <is>
          <t>TC-REF-06</t>
        </is>
      </c>
      <c r="B119" s="8" t="inlineStr">
        <is>
          <t>Refill</t>
        </is>
      </c>
      <c r="C119" s="8" t="inlineStr">
        <is>
          <t>REF-03</t>
        </is>
      </c>
      <c r="D119" s="8">
        <f>IFERROR(INDEX(Rules!$C$2:$C$104,MATCH(C119,Rules!$A$2:$A$104,0)),"")</f>
        <v/>
      </c>
      <c r="E119" s="8" t="inlineStr">
        <is>
          <t>Refill running</t>
        </is>
      </c>
      <c r="F119" s="8" t="inlineStr">
        <is>
          <t>Short press button 1</t>
        </is>
      </c>
      <c r="G119" s="8" t="inlineStr">
        <is>
          <t>Refill stops; previous mode</t>
        </is>
      </c>
      <c r="H119" s="12" t="n"/>
      <c r="I119" s="12" t="inlineStr">
        <is>
          <t>Not Run</t>
        </is>
      </c>
      <c r="J119" s="12" t="n"/>
      <c r="K119" s="12" t="n"/>
      <c r="L119" s="12" t="n"/>
      <c r="M119" s="8" t="n"/>
    </row>
    <row r="120">
      <c r="A120" s="7" t="inlineStr">
        <is>
          <t>TC-REF-07</t>
        </is>
      </c>
      <c r="B120" s="8" t="inlineStr">
        <is>
          <t>Refill</t>
        </is>
      </c>
      <c r="C120" s="8" t="inlineStr">
        <is>
          <t>REF-03</t>
        </is>
      </c>
      <c r="D120" s="8">
        <f>IFERROR(INDEX(Rules!$C$2:$C$104,MATCH(C120,Rules!$A$2:$A$104,0)),"")</f>
        <v/>
      </c>
      <c r="E120" s="8" t="inlineStr">
        <is>
          <t>Max run 5 min</t>
        </is>
      </c>
      <c r="F120" s="8" t="inlineStr">
        <is>
          <t>Run Refill 5 min</t>
        </is>
      </c>
      <c r="G120" s="8" t="inlineStr">
        <is>
          <t>Motor OFF; Refill ends; previous mode</t>
        </is>
      </c>
      <c r="H120" s="12" t="n"/>
      <c r="I120" s="12" t="inlineStr">
        <is>
          <t>Not Run</t>
        </is>
      </c>
      <c r="J120" s="12" t="n"/>
      <c r="K120" s="12" t="n"/>
      <c r="L120" s="12" t="n"/>
      <c r="M120" s="8" t="n"/>
    </row>
    <row r="121">
      <c r="A121" s="7" t="inlineStr">
        <is>
          <t>TC-REF-08</t>
        </is>
      </c>
      <c r="B121" s="8" t="inlineStr">
        <is>
          <t>Refill</t>
        </is>
      </c>
      <c r="C121" s="8" t="inlineStr">
        <is>
          <t>REF-05</t>
        </is>
      </c>
      <c r="D121" s="8">
        <f>IFERROR(INDEX(Rules!$C$2:$C$104,MATCH(C121,Rules!$A$2:$A$104,0)),"")</f>
        <v/>
      </c>
      <c r="E121" s="8" t="inlineStr">
        <is>
          <t>Refill running from Auto</t>
        </is>
      </c>
      <c r="F121" s="8" t="inlineStr">
        <is>
          <t>Low voltage for 5 s</t>
        </is>
      </c>
      <c r="G121" s="8" t="inlineStr">
        <is>
          <t>Motor OFF; Refill ends; screen shows AUTO</t>
        </is>
      </c>
      <c r="H121" s="12" t="n"/>
      <c r="I121" s="12" t="inlineStr">
        <is>
          <t>Not Run</t>
        </is>
      </c>
      <c r="J121" s="12" t="n"/>
      <c r="K121" s="12" t="n"/>
      <c r="L121" s="12" t="n"/>
      <c r="M121" s="8" t="n"/>
    </row>
    <row r="122">
      <c r="A122" s="7" t="inlineStr">
        <is>
          <t>TC-REF-09</t>
        </is>
      </c>
      <c r="B122" s="8" t="inlineStr">
        <is>
          <t>Refill</t>
        </is>
      </c>
      <c r="C122" s="8" t="inlineStr">
        <is>
          <t>REF-06</t>
        </is>
      </c>
      <c r="D122" s="8">
        <f>IFERROR(INDEX(Rules!$C$2:$C$104,MATCH(C122,Rules!$A$2:$A$104,0)),"")</f>
        <v/>
      </c>
      <c r="E122" s="8" t="inlineStr">
        <is>
          <t>PwrRestore ON, Refill running from Auto</t>
        </is>
      </c>
      <c r="F122" s="8" t="inlineStr">
        <is>
          <t>Power off and on</t>
        </is>
      </c>
      <c r="G122" s="8" t="inlineStr">
        <is>
          <t>Screen shows AUTO; motor per DEC-11 (now: starts after 10 s unless full)</t>
        </is>
      </c>
      <c r="H122" s="12" t="n"/>
      <c r="I122" s="12" t="inlineStr">
        <is>
          <t>Not Run</t>
        </is>
      </c>
      <c r="J122" s="12" t="n"/>
      <c r="K122" s="12" t="n"/>
      <c r="L122" s="12" t="n"/>
      <c r="M122" s="8" t="n"/>
    </row>
    <row r="123">
      <c r="A123" s="7" t="inlineStr">
        <is>
          <t>TC-REF-10</t>
        </is>
      </c>
      <c r="B123" s="8" t="inlineStr">
        <is>
          <t>Refill</t>
        </is>
      </c>
      <c r="C123" s="8" t="inlineStr">
        <is>
          <t>REF-06</t>
        </is>
      </c>
      <c r="D123" s="8">
        <f>IFERROR(INDEX(Rules!$C$2:$C$104,MATCH(C123,Rules!$A$2:$A$104,0)),"")</f>
        <v/>
      </c>
      <c r="E123" s="8" t="inlineStr">
        <is>
          <t>PwrRestore ON, Refill running from Manual</t>
        </is>
      </c>
      <c r="F123" s="8" t="inlineStr">
        <is>
          <t>Power off and on</t>
        </is>
      </c>
      <c r="G123" s="8" t="inlineStr">
        <is>
          <t>Screen shows MANUAL, motor OFF</t>
        </is>
      </c>
      <c r="H123" s="12" t="n"/>
      <c r="I123" s="12" t="inlineStr">
        <is>
          <t>Not Run</t>
        </is>
      </c>
      <c r="J123" s="12" t="n"/>
      <c r="K123" s="12" t="n"/>
      <c r="L123" s="12" t="n"/>
      <c r="M123" s="8" t="n"/>
    </row>
    <row r="124">
      <c r="A124" s="7" t="inlineStr">
        <is>
          <t>TC-PRT-01</t>
        </is>
      </c>
      <c r="B124" s="8" t="inlineStr">
        <is>
          <t>Protections</t>
        </is>
      </c>
      <c r="C124" s="8" t="inlineStr">
        <is>
          <t>PRT-01</t>
        </is>
      </c>
      <c r="D124" s="8">
        <f>IFERROR(INDEX(Rules!$C$2:$C$104,MATCH(C124,Rules!$A$2:$A$104,0)),"")</f>
        <v/>
      </c>
      <c r="E124" s="8" t="inlineStr">
        <is>
          <t>Supply below low-voltage limit</t>
        </is>
      </c>
      <c r="F124" s="8" t="inlineStr">
        <is>
          <t>Try to start any mode</t>
        </is>
      </c>
      <c r="G124" s="8" t="inlineStr">
        <is>
          <t>Motor does not start; VOLTERR shown</t>
        </is>
      </c>
      <c r="H124" s="12" t="n"/>
      <c r="I124" s="12" t="inlineStr">
        <is>
          <t>Not Run</t>
        </is>
      </c>
      <c r="J124" s="12" t="n"/>
      <c r="K124" s="12" t="n"/>
      <c r="L124" s="12" t="n"/>
      <c r="M124" s="8" t="n"/>
    </row>
    <row r="125">
      <c r="A125" s="7" t="inlineStr">
        <is>
          <t>TC-PRT-02</t>
        </is>
      </c>
      <c r="B125" s="8" t="inlineStr">
        <is>
          <t>Protections</t>
        </is>
      </c>
      <c r="C125" s="8" t="inlineStr">
        <is>
          <t>PRT-01</t>
        </is>
      </c>
      <c r="D125" s="8">
        <f>IFERROR(INDEX(Rules!$C$2:$C$104,MATCH(C125,Rules!$A$2:$A$104,0)),"")</f>
        <v/>
      </c>
      <c r="E125" s="8" t="inlineStr">
        <is>
          <t>Supply above high-voltage limit</t>
        </is>
      </c>
      <c r="F125" s="8" t="inlineStr">
        <is>
          <t>Try to start any mode</t>
        </is>
      </c>
      <c r="G125" s="8" t="inlineStr">
        <is>
          <t>Motor does not start; VOLTERR shown</t>
        </is>
      </c>
      <c r="H125" s="12" t="n"/>
      <c r="I125" s="12" t="inlineStr">
        <is>
          <t>Not Run</t>
        </is>
      </c>
      <c r="J125" s="12" t="n"/>
      <c r="K125" s="12" t="n"/>
      <c r="L125" s="12" t="n"/>
      <c r="M125" s="8" t="n"/>
    </row>
    <row r="126">
      <c r="A126" s="7" t="inlineStr">
        <is>
          <t>TC-PRT-03</t>
        </is>
      </c>
      <c r="B126" s="8" t="inlineStr">
        <is>
          <t>Protections</t>
        </is>
      </c>
      <c r="C126" s="8" t="inlineStr">
        <is>
          <t>PRT-01</t>
        </is>
      </c>
      <c r="D126" s="8">
        <f>IFERROR(INDEX(Rules!$C$2:$C$104,MATCH(C126,Rules!$A$2:$A$104,0)),"")</f>
        <v/>
      </c>
      <c r="E126" s="8" t="inlineStr">
        <is>
          <t>Voltage fault active</t>
        </is>
      </c>
      <c r="F126" s="8" t="inlineStr">
        <is>
          <t>Return voltage to normal</t>
        </is>
      </c>
      <c r="G126" s="8" t="inlineStr">
        <is>
          <t>Fault clears after 10 s</t>
        </is>
      </c>
      <c r="H126" s="12" t="n"/>
      <c r="I126" s="12" t="inlineStr">
        <is>
          <t>Not Run</t>
        </is>
      </c>
      <c r="J126" s="12" t="n"/>
      <c r="K126" s="12" t="n"/>
      <c r="L126" s="12" t="n"/>
      <c r="M126" s="8" t="n"/>
    </row>
    <row r="127">
      <c r="A127" s="7" t="inlineStr">
        <is>
          <t>TC-PRT-04</t>
        </is>
      </c>
      <c r="B127" s="8" t="inlineStr">
        <is>
          <t>Protections</t>
        </is>
      </c>
      <c r="C127" s="8" t="inlineStr">
        <is>
          <t>PRT-02</t>
        </is>
      </c>
      <c r="D127" s="8">
        <f>IFERROR(INDEX(Rules!$C$2:$C$104,MATCH(C127,Rules!$A$2:$A$104,0)),"")</f>
        <v/>
      </c>
      <c r="E127" s="8" t="inlineStr">
        <is>
          <t>Over-load 25 A, motor with high start current</t>
        </is>
      </c>
      <c r="F127" s="8" t="inlineStr">
        <is>
          <t>Start motor</t>
        </is>
      </c>
      <c r="G127" s="8" t="inlineStr">
        <is>
          <t>No trip during the first 3 s</t>
        </is>
      </c>
      <c r="H127" s="12" t="n"/>
      <c r="I127" s="12" t="inlineStr">
        <is>
          <t>Not Run</t>
        </is>
      </c>
      <c r="J127" s="12" t="n"/>
      <c r="K127" s="12" t="n"/>
      <c r="L127" s="12" t="n"/>
      <c r="M127" s="8" t="n"/>
    </row>
    <row r="128">
      <c r="A128" s="7" t="inlineStr">
        <is>
          <t>TC-PRT-05</t>
        </is>
      </c>
      <c r="B128" s="8" t="inlineStr">
        <is>
          <t>Protections</t>
        </is>
      </c>
      <c r="C128" s="8" t="inlineStr">
        <is>
          <t>PRT-02</t>
        </is>
      </c>
      <c r="D128" s="8">
        <f>IFERROR(INDEX(Rules!$C$2:$C$104,MATCH(C128,Rules!$A$2:$A$104,0)),"")</f>
        <v/>
      </c>
      <c r="E128" s="8" t="inlineStr">
        <is>
          <t>Over-load set just below running current</t>
        </is>
      </c>
      <c r="F128" s="8" t="inlineStr">
        <is>
          <t>Run motor</t>
        </is>
      </c>
      <c r="G128" s="8" t="inlineStr">
        <is>
          <t>Motor OFF after 3 s; OVERLD shown</t>
        </is>
      </c>
      <c r="H128" s="12" t="n"/>
      <c r="I128" s="12" t="inlineStr">
        <is>
          <t>Not Run</t>
        </is>
      </c>
      <c r="J128" s="12" t="n"/>
      <c r="K128" s="12" t="n"/>
      <c r="L128" s="12" t="n"/>
      <c r="M128" s="8" t="n"/>
    </row>
    <row r="129">
      <c r="A129" s="7" t="inlineStr">
        <is>
          <t>TC-PRT-06</t>
        </is>
      </c>
      <c r="B129" s="8" t="inlineStr">
        <is>
          <t>Protections</t>
        </is>
      </c>
      <c r="C129" s="8" t="inlineStr">
        <is>
          <t>PRT-03</t>
        </is>
      </c>
      <c r="D129" s="8">
        <f>IFERROR(INDEX(Rules!$C$2:$C$104,MATCH(C129,Rules!$A$2:$A$104,0)),"")</f>
        <v/>
      </c>
      <c r="E129" s="8" t="inlineStr">
        <is>
          <t>Under-load set above running current</t>
        </is>
      </c>
      <c r="F129" s="8" t="inlineStr">
        <is>
          <t>Run motor</t>
        </is>
      </c>
      <c r="G129" s="8" t="inlineStr">
        <is>
          <t>Motor OFF after 3 s; UNDERLD shown</t>
        </is>
      </c>
      <c r="H129" s="12" t="n"/>
      <c r="I129" s="12" t="inlineStr">
        <is>
          <t>Not Run</t>
        </is>
      </c>
      <c r="J129" s="12" t="n"/>
      <c r="K129" s="12" t="n"/>
      <c r="L129" s="12" t="n"/>
      <c r="M129" s="8" t="n"/>
    </row>
    <row r="130">
      <c r="A130" s="7" t="inlineStr">
        <is>
          <t>TC-PRT-07</t>
        </is>
      </c>
      <c r="B130" s="8" t="inlineStr">
        <is>
          <t>Protections</t>
        </is>
      </c>
      <c r="C130" s="8" t="inlineStr">
        <is>
          <t>PRT-04</t>
        </is>
      </c>
      <c r="D130" s="8">
        <f>IFERROR(INDEX(Rules!$C$2:$C$104,MATCH(C130,Rules!$A$2:$A$104,0)),"")</f>
        <v/>
      </c>
      <c r="E130" s="8" t="inlineStr">
        <is>
          <t>Max run 5 min, testing gap 5 min, Auto at 25%</t>
        </is>
      </c>
      <c r="F130" s="8" t="inlineStr">
        <is>
          <t>Let the motor run 5 min, then wait 5 min</t>
        </is>
      </c>
      <c r="G130" s="8" t="inlineStr">
        <is>
          <t>Motor OFF after 5 min (red LED blinks); Auto may start again after the 5 min gap</t>
        </is>
      </c>
      <c r="H130" s="12" t="n"/>
      <c r="I130" s="12" t="inlineStr">
        <is>
          <t>Not Run</t>
        </is>
      </c>
      <c r="J130" s="12" t="n"/>
      <c r="K130" s="12" t="n"/>
      <c r="L130" s="12" t="n"/>
      <c r="M130" s="8" t="n"/>
    </row>
    <row r="131">
      <c r="A131" s="7" t="inlineStr">
        <is>
          <t>TC-PRT-08</t>
        </is>
      </c>
      <c r="B131" s="8" t="inlineStr">
        <is>
          <t>Protections</t>
        </is>
      </c>
      <c r="C131" s="8" t="inlineStr">
        <is>
          <t>PRT-05</t>
        </is>
      </c>
      <c r="D131" s="8">
        <f>IFERROR(INDEX(Rules!$C$2:$C$104,MATCH(C131,Rules!$A$2:$A$104,0)),"")</f>
        <v/>
      </c>
      <c r="E131" s="8" t="inlineStr">
        <is>
          <t>Low voltage switched off in app</t>
        </is>
      </c>
      <c r="F131" s="8" t="inlineStr">
        <is>
          <t>Supply below the old limit</t>
        </is>
      </c>
      <c r="G131" s="8" t="inlineStr">
        <is>
          <t>Motor runs</t>
        </is>
      </c>
      <c r="H131" s="12" t="n"/>
      <c r="I131" s="12" t="inlineStr">
        <is>
          <t>Not Run</t>
        </is>
      </c>
      <c r="J131" s="12" t="n"/>
      <c r="K131" s="12" t="n"/>
      <c r="L131" s="12" t="n"/>
      <c r="M131" s="8" t="n"/>
    </row>
    <row r="132">
      <c r="A132" s="7" t="inlineStr">
        <is>
          <t>TC-PRT-09</t>
        </is>
      </c>
      <c r="B132" s="8" t="inlineStr">
        <is>
          <t>Protections</t>
        </is>
      </c>
      <c r="C132" s="8" t="inlineStr">
        <is>
          <t>PRT-06</t>
        </is>
      </c>
      <c r="D132" s="8">
        <f>IFERROR(INDEX(Rules!$C$2:$C$104,MATCH(C132,Rules!$A$2:$A$104,0)),"")</f>
        <v/>
      </c>
      <c r="E132" s="8" t="inlineStr">
        <is>
          <t>Motor off, no load</t>
        </is>
      </c>
      <c r="F132" s="8" t="inlineStr">
        <is>
          <t>Read current on page 2</t>
        </is>
      </c>
      <c r="G132" s="8" t="inlineStr">
        <is>
          <t>0.0 A</t>
        </is>
      </c>
      <c r="H132" s="12" t="n"/>
      <c r="I132" s="12" t="inlineStr">
        <is>
          <t>Not Run</t>
        </is>
      </c>
      <c r="J132" s="12" t="n"/>
      <c r="K132" s="12" t="n"/>
      <c r="L132" s="12" t="n"/>
      <c r="M132" s="8" t="n"/>
    </row>
    <row r="133">
      <c r="A133" s="7" t="inlineStr">
        <is>
          <t>TC-PRT-10</t>
        </is>
      </c>
      <c r="B133" s="8" t="inlineStr">
        <is>
          <t>Protections</t>
        </is>
      </c>
      <c r="C133" s="8" t="inlineStr">
        <is>
          <t>PRT-06</t>
        </is>
      </c>
      <c r="D133" s="8">
        <f>IFERROR(INDEX(Rules!$C$2:$C$104,MATCH(C133,Rules!$A$2:$A$104,0)),"")</f>
        <v/>
      </c>
      <c r="E133" s="8" t="inlineStr">
        <is>
          <t>Meter shows 230 V, device shows other value</t>
        </is>
      </c>
      <c r="F133" s="8" t="inlineStr">
        <is>
          <t>App: calibrate voltage to 230</t>
        </is>
      </c>
      <c r="G133" s="8" t="inlineStr">
        <is>
          <t>Device shows 230 V; kept after reboot</t>
        </is>
      </c>
      <c r="H133" s="12" t="n"/>
      <c r="I133" s="12" t="inlineStr">
        <is>
          <t>Not Run</t>
        </is>
      </c>
      <c r="J133" s="12" t="n"/>
      <c r="K133" s="12" t="n"/>
      <c r="L133" s="12" t="n"/>
      <c r="M133" s="8" t="n"/>
    </row>
    <row r="134">
      <c r="A134" s="7" t="inlineStr">
        <is>
          <t>TC-PWR-01</t>
        </is>
      </c>
      <c r="B134" s="8" t="inlineStr">
        <is>
          <t>Power restore</t>
        </is>
      </c>
      <c r="C134" s="8" t="inlineStr">
        <is>
          <t>PWR-02</t>
        </is>
      </c>
      <c r="D134" s="8">
        <f>IFERROR(INDEX(Rules!$C$2:$C$104,MATCH(C134,Rules!$A$2:$A$104,0)),"")</f>
        <v/>
      </c>
      <c r="E134" s="8" t="inlineStr">
        <is>
          <t>PwrRestore ON, Auto running</t>
        </is>
      </c>
      <c r="F134" s="8" t="inlineStr">
        <is>
          <t>Power off and on</t>
        </is>
      </c>
      <c r="G134" s="8" t="inlineStr">
        <is>
          <t>Auto; motor ON after 10 s</t>
        </is>
      </c>
      <c r="H134" s="12" t="n"/>
      <c r="I134" s="12" t="inlineStr">
        <is>
          <t>Not Run</t>
        </is>
      </c>
      <c r="J134" s="12" t="n"/>
      <c r="K134" s="12" t="n"/>
      <c r="L134" s="12" t="n"/>
      <c r="M134" s="8" t="n"/>
    </row>
    <row r="135">
      <c r="A135" s="7" t="inlineStr">
        <is>
          <t>TC-PWR-02</t>
        </is>
      </c>
      <c r="B135" s="8" t="inlineStr">
        <is>
          <t>Power restore</t>
        </is>
      </c>
      <c r="C135" s="8" t="inlineStr">
        <is>
          <t>PWR-02</t>
        </is>
      </c>
      <c r="D135" s="8">
        <f>IFERROR(INDEX(Rules!$C$2:$C$104,MATCH(C135,Rules!$A$2:$A$104,0)),"")</f>
        <v/>
      </c>
      <c r="E135" s="8" t="inlineStr">
        <is>
          <t>PwrRestore ON, Auto switched off by button 2 (AUTO M:OFF)</t>
        </is>
      </c>
      <c r="F135" s="8" t="inlineStr">
        <is>
          <t>Power off and on</t>
        </is>
      </c>
      <c r="G135" s="8" t="inlineStr">
        <is>
          <t>Auto; motor ON after 10 s</t>
        </is>
      </c>
      <c r="H135" s="12" t="n"/>
      <c r="I135" s="12" t="inlineStr">
        <is>
          <t>Not Run</t>
        </is>
      </c>
      <c r="J135" s="12" t="n"/>
      <c r="K135" s="12" t="n"/>
      <c r="L135" s="12" t="n"/>
      <c r="M135" s="8" t="n"/>
    </row>
    <row r="136">
      <c r="A136" s="7" t="inlineStr">
        <is>
          <t>TC-PWR-03</t>
        </is>
      </c>
      <c r="B136" s="8" t="inlineStr">
        <is>
          <t>Power restore</t>
        </is>
      </c>
      <c r="C136" s="8" t="inlineStr">
        <is>
          <t>PWR-02</t>
        </is>
      </c>
      <c r="D136" s="8">
        <f>IFERROR(INDEX(Rules!$C$2:$C$104,MATCH(C136,Rules!$A$2:$A$104,0)),"")</f>
        <v/>
      </c>
      <c r="E136" s="8" t="inlineStr">
        <is>
          <t>PwrRestore ON, Auto, level 100%</t>
        </is>
      </c>
      <c r="F136" s="8" t="inlineStr">
        <is>
          <t>Power off and on</t>
        </is>
      </c>
      <c r="G136" s="8" t="inlineStr">
        <is>
          <t>Auto; motor stays OFF</t>
        </is>
      </c>
      <c r="H136" s="12" t="n"/>
      <c r="I136" s="12" t="inlineStr">
        <is>
          <t>Not Run</t>
        </is>
      </c>
      <c r="J136" s="12" t="n"/>
      <c r="K136" s="12" t="n"/>
      <c r="L136" s="12" t="n"/>
      <c r="M136" s="8" t="n"/>
    </row>
    <row r="137">
      <c r="A137" s="7" t="inlineStr">
        <is>
          <t>TC-PWR-04</t>
        </is>
      </c>
      <c r="B137" s="8" t="inlineStr">
        <is>
          <t>Power restore</t>
        </is>
      </c>
      <c r="C137" s="8" t="inlineStr">
        <is>
          <t>PWR-03</t>
        </is>
      </c>
      <c r="D137" s="8">
        <f>IFERROR(INDEX(Rules!$C$2:$C$104,MATCH(C137,Rules!$A$2:$A$104,0)),"")</f>
        <v/>
      </c>
      <c r="E137" s="8" t="inlineStr">
        <is>
          <t>PwrRestore ON, Manual running</t>
        </is>
      </c>
      <c r="F137" s="8" t="inlineStr">
        <is>
          <t>Power off and on</t>
        </is>
      </c>
      <c r="G137" s="8" t="inlineStr">
        <is>
          <t>Manual, motor OFF; long press button 1 starts it</t>
        </is>
      </c>
      <c r="H137" s="12" t="n"/>
      <c r="I137" s="12" t="inlineStr">
        <is>
          <t>Not Run</t>
        </is>
      </c>
      <c r="J137" s="12" t="n"/>
      <c r="K137" s="12" t="n"/>
      <c r="L137" s="12" t="n"/>
      <c r="M137" s="8" t="n"/>
    </row>
    <row r="138">
      <c r="A138" s="7" t="inlineStr">
        <is>
          <t>TC-PWR-05</t>
        </is>
      </c>
      <c r="B138" s="8" t="inlineStr">
        <is>
          <t>Power restore</t>
        </is>
      </c>
      <c r="C138" s="8" t="inlineStr">
        <is>
          <t>PWR-07</t>
        </is>
      </c>
      <c r="D138" s="8">
        <f>IFERROR(INDEX(Rules!$C$2:$C$104,MATCH(C138,Rules!$A$2:$A$104,0)),"")</f>
        <v/>
      </c>
      <c r="E138" s="8" t="inlineStr">
        <is>
          <t>PwrRestore OFF, Auto running</t>
        </is>
      </c>
      <c r="F138" s="8" t="inlineStr">
        <is>
          <t>Power off and on</t>
        </is>
      </c>
      <c r="G138" s="8" t="inlineStr">
        <is>
          <t>Manual, motor OFF</t>
        </is>
      </c>
      <c r="H138" s="12" t="n"/>
      <c r="I138" s="12" t="inlineStr">
        <is>
          <t>Not Run</t>
        </is>
      </c>
      <c r="J138" s="12" t="n"/>
      <c r="K138" s="12" t="n"/>
      <c r="L138" s="12" t="n"/>
      <c r="M138" s="8" t="n"/>
    </row>
    <row r="139">
      <c r="A139" s="7" t="inlineStr">
        <is>
          <t>TC-PWR-06</t>
        </is>
      </c>
      <c r="B139" s="8" t="inlineStr">
        <is>
          <t>Power restore</t>
        </is>
      </c>
      <c r="C139" s="8" t="inlineStr">
        <is>
          <t>PWR-01</t>
        </is>
      </c>
      <c r="D139" s="8">
        <f>IFERROR(INDEX(Rules!$C$2:$C$104,MATCH(C139,Rules!$A$2:$A$104,0)),"")</f>
        <v/>
      </c>
      <c r="E139" s="8" t="inlineStr">
        <is>
          <t>PwrRestore ON</t>
        </is>
      </c>
      <c r="F139" s="8" t="inlineStr">
        <is>
          <t>Reboot; open Device Setup and app settings</t>
        </is>
      </c>
      <c r="G139" s="8" t="inlineStr">
        <is>
          <t>Still ON in both</t>
        </is>
      </c>
      <c r="H139" s="12" t="n"/>
      <c r="I139" s="12" t="inlineStr">
        <is>
          <t>Not Run</t>
        </is>
      </c>
      <c r="J139" s="12" t="n"/>
      <c r="K139" s="12" t="n"/>
      <c r="L139" s="12" t="n"/>
      <c r="M139" s="8" t="n"/>
    </row>
    <row r="140">
      <c r="A140" s="7" t="inlineStr">
        <is>
          <t>TC-PWR-07</t>
        </is>
      </c>
      <c r="B140" s="8" t="inlineStr">
        <is>
          <t>Power restore</t>
        </is>
      </c>
      <c r="C140" s="8" t="inlineStr">
        <is>
          <t>PWR-04</t>
        </is>
      </c>
      <c r="D140" s="8">
        <f>IFERROR(INDEX(Rules!$C$2:$C$104,MATCH(C140,Rules!$A$2:$A$104,0)),"")</f>
        <v/>
      </c>
      <c r="E140" s="8" t="inlineStr">
        <is>
          <t>PwrRestore ON, Timer, slot active, motor was OFF (dry run wait)</t>
        </is>
      </c>
      <c r="F140" s="8" t="inlineStr">
        <is>
          <t>Power off and on</t>
        </is>
      </c>
      <c r="G140" s="8" t="inlineStr">
        <is>
          <t>Timer; motor starts after 10 s</t>
        </is>
      </c>
      <c r="H140" s="12" t="n"/>
      <c r="I140" s="12" t="inlineStr">
        <is>
          <t>Not Run</t>
        </is>
      </c>
      <c r="J140" s="12" t="n"/>
      <c r="K140" s="12" t="n"/>
      <c r="L140" s="12" t="n"/>
      <c r="M140" s="8" t="n"/>
    </row>
    <row r="141">
      <c r="A141" s="7" t="inlineStr">
        <is>
          <t>TC-PWR-08</t>
        </is>
      </c>
      <c r="B141" s="8" t="inlineStr">
        <is>
          <t>Power restore</t>
        </is>
      </c>
      <c r="C141" s="8" t="inlineStr">
        <is>
          <t>PWR-04</t>
        </is>
      </c>
      <c r="D141" s="8">
        <f>IFERROR(INDEX(Rules!$C$2:$C$104,MATCH(C141,Rules!$A$2:$A$104,0)),"")</f>
        <v/>
      </c>
      <c r="E141" s="8" t="inlineStr">
        <is>
          <t>PwrRestore ON, Timer, no slot active</t>
        </is>
      </c>
      <c r="F141" s="8" t="inlineStr">
        <is>
          <t>Power off and on</t>
        </is>
      </c>
      <c r="G141" s="8" t="inlineStr">
        <is>
          <t>Timer; motor OFF until the next slot</t>
        </is>
      </c>
      <c r="H141" s="12" t="n"/>
      <c r="I141" s="12" t="inlineStr">
        <is>
          <t>Not Run</t>
        </is>
      </c>
      <c r="J141" s="12" t="n"/>
      <c r="K141" s="12" t="n"/>
      <c r="L141" s="12" t="n"/>
      <c r="M141" s="8" t="n"/>
    </row>
    <row r="142">
      <c r="A142" s="7" t="inlineStr">
        <is>
          <t>TC-PWR-09</t>
        </is>
      </c>
      <c r="B142" s="8" t="inlineStr">
        <is>
          <t>Power restore</t>
        </is>
      </c>
      <c r="C142" s="8" t="inlineStr">
        <is>
          <t>PWR-05</t>
        </is>
      </c>
      <c r="D142" s="8">
        <f>IFERROR(INDEX(Rules!$C$2:$C$104,MATCH(C142,Rules!$A$2:$A$104,0)),"")</f>
        <v/>
      </c>
      <c r="E142" s="8" t="inlineStr">
        <is>
          <t>PwrRestore ON, Twist in ON period</t>
        </is>
      </c>
      <c r="F142" s="8" t="inlineStr">
        <is>
          <t>Power off and on</t>
        </is>
      </c>
      <c r="G142" s="8" t="inlineStr">
        <is>
          <t>Twist continues the ON period with the time left</t>
        </is>
      </c>
      <c r="H142" s="12" t="n"/>
      <c r="I142" s="12" t="inlineStr">
        <is>
          <t>Not Run</t>
        </is>
      </c>
      <c r="J142" s="12" t="n"/>
      <c r="K142" s="12" t="n"/>
      <c r="L142" s="12" t="n"/>
      <c r="M142" s="8" t="n"/>
    </row>
    <row r="143">
      <c r="A143" s="7" t="inlineStr">
        <is>
          <t>TC-PWR-10</t>
        </is>
      </c>
      <c r="B143" s="8" t="inlineStr">
        <is>
          <t>Power restore</t>
        </is>
      </c>
      <c r="C143" s="8" t="inlineStr">
        <is>
          <t>PWR-06</t>
        </is>
      </c>
      <c r="D143" s="8">
        <f>IFERROR(INDEX(Rules!$C$2:$C$104,MATCH(C143,Rules!$A$2:$A$104,0)),"")</f>
        <v/>
      </c>
      <c r="E143" s="8" t="inlineStr">
        <is>
          <t>PwrRestore ON, Countdown running with 8 min left</t>
        </is>
      </c>
      <c r="F143" s="8" t="inlineStr">
        <is>
          <t>Power off and on</t>
        </is>
      </c>
      <c r="G143" s="8" t="inlineStr">
        <is>
          <t>Countdown continues with about 8 min left</t>
        </is>
      </c>
      <c r="H143" s="12" t="n"/>
      <c r="I143" s="12" t="inlineStr">
        <is>
          <t>Not Run</t>
        </is>
      </c>
      <c r="J143" s="12" t="n"/>
      <c r="K143" s="12" t="n"/>
      <c r="L143" s="12" t="n"/>
      <c r="M143" s="8" t="n"/>
    </row>
    <row r="144">
      <c r="A144" s="7" t="inlineStr">
        <is>
          <t>TC-BUZ-01</t>
        </is>
      </c>
      <c r="B144" s="8" t="inlineStr">
        <is>
          <t>Buzzer</t>
        </is>
      </c>
      <c r="C144" s="8" t="inlineStr">
        <is>
          <t>BUZ-01</t>
        </is>
      </c>
      <c r="D144" s="8">
        <f>IFERROR(INDEX(Rules!$C$2:$C$104,MATCH(C144,Rules!$A$2:$A$104,0)),"")</f>
        <v/>
      </c>
      <c r="E144" s="8" t="inlineStr">
        <is>
          <t>Pump-on buzzer on</t>
        </is>
      </c>
      <c r="F144" s="8" t="inlineStr">
        <is>
          <t>Start motor</t>
        </is>
      </c>
      <c r="G144" s="8" t="inlineStr">
        <is>
          <t>Beeps once per second while running</t>
        </is>
      </c>
      <c r="H144" s="12" t="n"/>
      <c r="I144" s="12" t="inlineStr">
        <is>
          <t>Not Run</t>
        </is>
      </c>
      <c r="J144" s="12" t="n"/>
      <c r="K144" s="12" t="n"/>
      <c r="L144" s="12" t="n"/>
      <c r="M144" s="8" t="n"/>
    </row>
    <row r="145">
      <c r="A145" s="7" t="inlineStr">
        <is>
          <t>TC-BUZ-02</t>
        </is>
      </c>
      <c r="B145" s="8" t="inlineStr">
        <is>
          <t>Buzzer</t>
        </is>
      </c>
      <c r="C145" s="8" t="inlineStr">
        <is>
          <t>BUZ-02</t>
        </is>
      </c>
      <c r="D145" s="8">
        <f>IFERROR(INDEX(Rules!$C$2:$C$104,MATCH(C145,Rules!$A$2:$A$104,0)),"")</f>
        <v/>
      </c>
      <c r="E145" s="8" t="inlineStr">
        <is>
          <t>Tank-full buzzer on</t>
        </is>
      </c>
      <c r="F145" s="8" t="inlineStr">
        <is>
          <t>Fill tank</t>
        </is>
      </c>
      <c r="G145" s="8" t="inlineStr">
        <is>
          <t>Buzzer 30 s</t>
        </is>
      </c>
      <c r="H145" s="12" t="n"/>
      <c r="I145" s="12" t="inlineStr">
        <is>
          <t>Not Run</t>
        </is>
      </c>
      <c r="J145" s="12" t="n"/>
      <c r="K145" s="12" t="n"/>
      <c r="L145" s="12" t="n"/>
      <c r="M145" s="8" t="n"/>
    </row>
    <row r="146">
      <c r="A146" s="7" t="inlineStr">
        <is>
          <t>TC-BUZ-03</t>
        </is>
      </c>
      <c r="B146" s="8" t="inlineStr">
        <is>
          <t>Buzzer</t>
        </is>
      </c>
      <c r="C146" s="8" t="inlineStr">
        <is>
          <t>BUZ-03</t>
        </is>
      </c>
      <c r="D146" s="8">
        <f>IFERROR(INDEX(Rules!$C$2:$C$104,MATCH(C146,Rules!$A$2:$A$104,0)),"")</f>
        <v/>
      </c>
      <c r="E146" s="8" t="inlineStr">
        <is>
          <t>Tank-empty buzzer on</t>
        </is>
      </c>
      <c r="F146" s="8" t="inlineStr">
        <is>
          <t>Lower level to 0%</t>
        </is>
      </c>
      <c r="G146" s="8" t="inlineStr">
        <is>
          <t>Buzzer 15 s</t>
        </is>
      </c>
      <c r="H146" s="12" t="n"/>
      <c r="I146" s="12" t="inlineStr">
        <is>
          <t>Not Run</t>
        </is>
      </c>
      <c r="J146" s="12" t="n"/>
      <c r="K146" s="12" t="n"/>
      <c r="L146" s="12" t="n"/>
      <c r="M146" s="8" t="n"/>
    </row>
    <row r="147">
      <c r="A147" s="7" t="inlineStr">
        <is>
          <t>TC-BUZ-04</t>
        </is>
      </c>
      <c r="B147" s="8" t="inlineStr">
        <is>
          <t>Buzzer</t>
        </is>
      </c>
      <c r="C147" s="8" t="inlineStr">
        <is>
          <t>BUZ-04</t>
        </is>
      </c>
      <c r="D147" s="8">
        <f>IFERROR(INDEX(Rules!$C$2:$C$104,MATCH(C147,Rules!$A$2:$A$104,0)),"")</f>
        <v/>
      </c>
      <c r="E147" s="8" t="inlineStr">
        <is>
          <t>All buzzers off</t>
        </is>
      </c>
      <c r="F147" s="8" t="inlineStr">
        <is>
          <t>Run motor, fill tank, empty tank</t>
        </is>
      </c>
      <c r="G147" s="8" t="inlineStr">
        <is>
          <t>No buzzer</t>
        </is>
      </c>
      <c r="H147" s="12" t="n"/>
      <c r="I147" s="12" t="inlineStr">
        <is>
          <t>Not Run</t>
        </is>
      </c>
      <c r="J147" s="12" t="n"/>
      <c r="K147" s="12" t="n"/>
      <c r="L147" s="12" t="n"/>
      <c r="M147" s="8" t="n"/>
    </row>
    <row r="148">
      <c r="A148" s="7" t="inlineStr">
        <is>
          <t>TC-BUZ-05</t>
        </is>
      </c>
      <c r="B148" s="8" t="inlineStr">
        <is>
          <t>Buzzer</t>
        </is>
      </c>
      <c r="C148" s="8" t="inlineStr">
        <is>
          <t>BUZ-04</t>
        </is>
      </c>
      <c r="D148" s="8">
        <f>IFERROR(INDEX(Rules!$C$2:$C$104,MATCH(C148,Rules!$A$2:$A$104,0)),"")</f>
        <v/>
      </c>
      <c r="E148" s="8" t="inlineStr">
        <is>
          <t>App settings</t>
        </is>
      </c>
      <c r="F148" s="8" t="inlineStr">
        <is>
          <t>Switch only tank-full buzzer on, apply, reload</t>
        </is>
      </c>
      <c r="G148" s="8" t="inlineStr">
        <is>
          <t>Only tank-full shown on; only it sounds</t>
        </is>
      </c>
      <c r="H148" s="12" t="n"/>
      <c r="I148" s="12" t="inlineStr">
        <is>
          <t>Not Run</t>
        </is>
      </c>
      <c r="J148" s="12" t="n"/>
      <c r="K148" s="12" t="n"/>
      <c r="L148" s="12" t="n"/>
      <c r="M148" s="8" t="n"/>
    </row>
    <row r="149">
      <c r="A149" s="7" t="inlineStr">
        <is>
          <t>TC-DSP-01</t>
        </is>
      </c>
      <c r="B149" s="8" t="inlineStr">
        <is>
          <t>Display</t>
        </is>
      </c>
      <c r="C149" s="8" t="inlineStr">
        <is>
          <t>DSP-01</t>
        </is>
      </c>
      <c r="D149" s="8">
        <f>IFERROR(INDEX(Rules!$C$2:$C$104,MATCH(C149,Rules!$A$2:$A$104,0)),"")</f>
        <v/>
      </c>
      <c r="E149" s="8" t="inlineStr">
        <is>
          <t>Auto running at 50%</t>
        </is>
      </c>
      <c r="F149" s="8" t="inlineStr">
        <is>
          <t>Look at line 1</t>
        </is>
      </c>
      <c r="G149" s="8" t="inlineStr">
        <is>
          <t>AUTO   M:ON  50%</t>
        </is>
      </c>
      <c r="H149" s="12" t="n"/>
      <c r="I149" s="12" t="inlineStr">
        <is>
          <t>Not Run</t>
        </is>
      </c>
      <c r="J149" s="12" t="n"/>
      <c r="K149" s="12" t="n"/>
      <c r="L149" s="12" t="n"/>
      <c r="M149" s="8" t="n"/>
    </row>
    <row r="150">
      <c r="A150" s="7" t="inlineStr">
        <is>
          <t>TC-DSP-02</t>
        </is>
      </c>
      <c r="B150" s="8" t="inlineStr">
        <is>
          <t>Display</t>
        </is>
      </c>
      <c r="C150" s="8" t="inlineStr">
        <is>
          <t>DSP-02</t>
        </is>
      </c>
      <c r="D150" s="8">
        <f>IFERROR(INDEX(Rules!$C$2:$C$104,MATCH(C150,Rules!$A$2:$A$104,0)),"")</f>
        <v/>
      </c>
      <c r="E150" s="8" t="inlineStr">
        <is>
          <t>G.W connected</t>
        </is>
      </c>
      <c r="F150" s="8" t="inlineStr">
        <is>
          <t>Look at line 2</t>
        </is>
      </c>
      <c r="G150" s="8" t="inlineStr">
        <is>
          <t>G.W:YES and time</t>
        </is>
      </c>
      <c r="H150" s="12" t="n"/>
      <c r="I150" s="12" t="inlineStr">
        <is>
          <t>Not Run</t>
        </is>
      </c>
      <c r="J150" s="12" t="n"/>
      <c r="K150" s="12" t="n"/>
      <c r="L150" s="12" t="n"/>
      <c r="M150" s="8" t="n"/>
    </row>
    <row r="151">
      <c r="A151" s="7" t="inlineStr">
        <is>
          <t>TC-DSP-03</t>
        </is>
      </c>
      <c r="B151" s="8" t="inlineStr">
        <is>
          <t>Display</t>
        </is>
      </c>
      <c r="C151" s="8" t="inlineStr">
        <is>
          <t>DSP-02</t>
        </is>
      </c>
      <c r="D151" s="8">
        <f>IFERROR(INDEX(Rules!$C$2:$C$104,MATCH(C151,Rules!$A$2:$A$104,0)),"")</f>
        <v/>
      </c>
      <c r="E151" s="8" t="inlineStr">
        <is>
          <t>Dry sensor dry</t>
        </is>
      </c>
      <c r="F151" s="8" t="inlineStr">
        <is>
          <t>Look at line 2</t>
        </is>
      </c>
      <c r="G151" s="8" t="inlineStr">
        <is>
          <t>DRY shown</t>
        </is>
      </c>
      <c r="H151" s="12" t="n"/>
      <c r="I151" s="12" t="inlineStr">
        <is>
          <t>Not Run</t>
        </is>
      </c>
      <c r="J151" s="12" t="n"/>
      <c r="K151" s="12" t="n"/>
      <c r="L151" s="12" t="n"/>
      <c r="M151" s="8" t="n"/>
    </row>
    <row r="152">
      <c r="A152" s="7" t="inlineStr">
        <is>
          <t>TC-DSP-04</t>
        </is>
      </c>
      <c r="B152" s="8" t="inlineStr">
        <is>
          <t>Display</t>
        </is>
      </c>
      <c r="C152" s="8" t="inlineStr">
        <is>
          <t>DSP-02</t>
        </is>
      </c>
      <c r="D152" s="8">
        <f>IFERROR(INDEX(Rules!$C$2:$C$104,MATCH(C152,Rules!$A$2:$A$104,0)),"")</f>
        <v/>
      </c>
      <c r="E152" s="8" t="inlineStr">
        <is>
          <t>Level 100%</t>
        </is>
      </c>
      <c r="F152" s="8" t="inlineStr">
        <is>
          <t>Look at line 2</t>
        </is>
      </c>
      <c r="G152" s="8" t="inlineStr">
        <is>
          <t>TANK FULL and time</t>
        </is>
      </c>
      <c r="H152" s="12" t="n"/>
      <c r="I152" s="12" t="inlineStr">
        <is>
          <t>Not Run</t>
        </is>
      </c>
      <c r="J152" s="12" t="n"/>
      <c r="K152" s="12" t="n"/>
      <c r="L152" s="12" t="n"/>
      <c r="M152" s="8" t="n"/>
    </row>
    <row r="153">
      <c r="A153" s="7" t="inlineStr">
        <is>
          <t>TC-DSP-05</t>
        </is>
      </c>
      <c r="B153" s="8" t="inlineStr">
        <is>
          <t>Display</t>
        </is>
      </c>
      <c r="C153" s="8" t="inlineStr">
        <is>
          <t>DSP-03</t>
        </is>
      </c>
      <c r="D153" s="8">
        <f>IFERROR(INDEX(Rules!$C$2:$C$104,MATCH(C153,Rules!$A$2:$A$104,0)),"")</f>
        <v/>
      </c>
      <c r="E153" s="8" t="inlineStr">
        <is>
          <t>Normal</t>
        </is>
      </c>
      <c r="F153" s="8" t="inlineStr">
        <is>
          <t>Wait for page 2</t>
        </is>
      </c>
      <c r="G153" s="8" t="inlineStr">
        <is>
          <t>Voltage, current and day</t>
        </is>
      </c>
      <c r="H153" s="12" t="n"/>
      <c r="I153" s="12" t="inlineStr">
        <is>
          <t>Not Run</t>
        </is>
      </c>
      <c r="J153" s="12" t="n"/>
      <c r="K153" s="12" t="n"/>
      <c r="L153" s="12" t="n"/>
      <c r="M153" s="8" t="n"/>
    </row>
    <row r="154">
      <c r="A154" s="7" t="inlineStr">
        <is>
          <t>TC-FAC-01</t>
        </is>
      </c>
      <c r="B154" s="8" t="inlineStr">
        <is>
          <t>Factory reset</t>
        </is>
      </c>
      <c r="C154" s="8" t="inlineStr">
        <is>
          <t>FAC-01</t>
        </is>
      </c>
      <c r="D154" s="8">
        <f>IFERROR(INDEX(Rules!$C$2:$C$104,MATCH(C154,Rules!$A$2:$A$104,0)),"")</f>
        <v/>
      </c>
      <c r="E154" s="8" t="inlineStr">
        <is>
          <t>Settings changed</t>
        </is>
      </c>
      <c r="F154" s="8" t="inlineStr">
        <is>
          <t>Menu &gt; Reset To Default &gt; YES</t>
        </is>
      </c>
      <c r="G154" s="8" t="inlineStr">
        <is>
          <t>All values as listed in FAC-01</t>
        </is>
      </c>
      <c r="H154" s="12" t="n"/>
      <c r="I154" s="12" t="inlineStr">
        <is>
          <t>Not Run</t>
        </is>
      </c>
      <c r="J154" s="12" t="n"/>
      <c r="K154" s="12" t="n"/>
      <c r="L154" s="12" t="n"/>
      <c r="M154" s="8" t="n"/>
    </row>
    <row r="155">
      <c r="A155" s="7" t="inlineStr">
        <is>
          <t>TC-FAC-02</t>
        </is>
      </c>
      <c r="B155" s="8" t="inlineStr">
        <is>
          <t>Factory reset</t>
        </is>
      </c>
      <c r="C155" s="8" t="inlineStr">
        <is>
          <t>FAC-01</t>
        </is>
      </c>
      <c r="D155" s="8">
        <f>IFERROR(INDEX(Rules!$C$2:$C$104,MATCH(C155,Rules!$A$2:$A$104,0)),"")</f>
        <v/>
      </c>
      <c r="E155" s="8" t="inlineStr">
        <is>
          <t>App connected, settings changed</t>
        </is>
      </c>
      <c r="F155" s="8" t="inlineStr">
        <is>
          <t>App: Factory Reset</t>
        </is>
      </c>
      <c r="G155" s="8" t="inlineStr">
        <is>
          <t>App shows the default values</t>
        </is>
      </c>
      <c r="H155" s="12" t="n"/>
      <c r="I155" s="12" t="inlineStr">
        <is>
          <t>Not Run</t>
        </is>
      </c>
      <c r="J155" s="12" t="n"/>
      <c r="K155" s="12" t="n"/>
      <c r="L155" s="12" t="n"/>
      <c r="M155" s="8" t="n"/>
    </row>
    <row r="156">
      <c r="A156" s="7" t="inlineStr">
        <is>
          <t>TC-APP-01</t>
        </is>
      </c>
      <c r="B156" s="8" t="inlineStr">
        <is>
          <t>Web app (ESP-01)</t>
        </is>
      </c>
      <c r="C156" s="8" t="inlineStr">
        <is>
          <t>APP-01</t>
        </is>
      </c>
      <c r="D156" s="8">
        <f>IFERROR(INDEX(Rules!$C$2:$C$104,MATCH(C156,Rules!$A$2:$A$104,0)),"")</f>
        <v/>
      </c>
      <c r="E156" s="8" t="inlineStr">
        <is>
          <t>Max run changed on the device menu</t>
        </is>
      </c>
      <c r="F156" s="8" t="inlineStr">
        <is>
          <t>Open app settings page</t>
        </is>
      </c>
      <c r="G156" s="8" t="inlineStr">
        <is>
          <t>App shows the new value</t>
        </is>
      </c>
      <c r="H156" s="12" t="n"/>
      <c r="I156" s="12" t="inlineStr">
        <is>
          <t>Not Run</t>
        </is>
      </c>
      <c r="J156" s="12" t="n"/>
      <c r="K156" s="12" t="n"/>
      <c r="L156" s="12" t="n"/>
      <c r="M156" s="8" t="n"/>
    </row>
    <row r="157">
      <c r="A157" s="7" t="inlineStr">
        <is>
          <t>TC-APP-02</t>
        </is>
      </c>
      <c r="B157" s="8" t="inlineStr">
        <is>
          <t>Web app (ESP-01)</t>
        </is>
      </c>
      <c r="C157" s="8" t="inlineStr">
        <is>
          <t>APP-02</t>
        </is>
      </c>
      <c r="D157" s="8">
        <f>IFERROR(INDEX(Rules!$C$2:$C$104,MATCH(C157,Rules!$A$2:$A$104,0)),"")</f>
        <v/>
      </c>
      <c r="E157" s="8" t="inlineStr">
        <is>
          <t>Device disconnected from ESP</t>
        </is>
      </c>
      <c r="F157" s="8" t="inlineStr">
        <is>
          <t>Open app settings page</t>
        </is>
      </c>
      <c r="G157" s="8" t="inlineStr">
        <is>
          <t>Message: device not responding - last known values</t>
        </is>
      </c>
      <c r="H157" s="12" t="n"/>
      <c r="I157" s="12" t="inlineStr">
        <is>
          <t>Not Run</t>
        </is>
      </c>
      <c r="J157" s="12" t="n"/>
      <c r="K157" s="12" t="n"/>
      <c r="L157" s="12" t="n"/>
      <c r="M157" s="8" t="n"/>
    </row>
    <row r="158">
      <c r="A158" s="7" t="inlineStr">
        <is>
          <t>TC-APP-03</t>
        </is>
      </c>
      <c r="B158" s="8" t="inlineStr">
        <is>
          <t>Web app (ESP-01)</t>
        </is>
      </c>
      <c r="C158" s="8" t="inlineStr">
        <is>
          <t>APP-03</t>
        </is>
      </c>
      <c r="D158" s="8">
        <f>IFERROR(INDEX(Rules!$C$2:$C$104,MATCH(C158,Rules!$A$2:$A$104,0)),"")</f>
        <v/>
      </c>
      <c r="E158" s="8" t="inlineStr">
        <is>
          <t>App settings</t>
        </is>
      </c>
      <c r="F158" s="8" t="inlineStr">
        <is>
          <t>Change high voltage, Apply</t>
        </is>
      </c>
      <c r="G158" s="8" t="inlineStr">
        <is>
          <t>Message: saved on device; page shows the new value</t>
        </is>
      </c>
      <c r="H158" s="12" t="n"/>
      <c r="I158" s="12" t="inlineStr">
        <is>
          <t>Not Run</t>
        </is>
      </c>
      <c r="J158" s="12" t="n"/>
      <c r="K158" s="12" t="n"/>
      <c r="L158" s="12" t="n"/>
      <c r="M158" s="8" t="n"/>
    </row>
    <row r="159">
      <c r="A159" s="7" t="inlineStr">
        <is>
          <t>TC-APP-04</t>
        </is>
      </c>
      <c r="B159" s="8" t="inlineStr">
        <is>
          <t>Web app (ESP-01)</t>
        </is>
      </c>
      <c r="C159" s="8" t="inlineStr">
        <is>
          <t>APP-04</t>
        </is>
      </c>
      <c r="D159" s="8">
        <f>IFERROR(INDEX(Rules!$C$2:$C$104,MATCH(C159,Rules!$A$2:$A$104,0)),"")</f>
        <v/>
      </c>
      <c r="E159" s="8" t="inlineStr">
        <is>
          <t>App dashboard open</t>
        </is>
      </c>
      <c r="F159" s="8" t="inlineStr">
        <is>
          <t>Start motor from device button</t>
        </is>
      </c>
      <c r="G159" s="8" t="inlineStr">
        <is>
          <t>App shows motor ON within about 3 s</t>
        </is>
      </c>
      <c r="H159" s="12" t="n"/>
      <c r="I159" s="12" t="inlineStr">
        <is>
          <t>Not Run</t>
        </is>
      </c>
      <c r="J159" s="12" t="n"/>
      <c r="K159" s="12" t="n"/>
      <c r="L159" s="12" t="n"/>
      <c r="M159" s="8" t="n"/>
    </row>
    <row r="160">
      <c r="A160" s="7" t="inlineStr">
        <is>
          <t>TC-APP-05</t>
        </is>
      </c>
      <c r="B160" s="8" t="inlineStr">
        <is>
          <t>Web app (ESP-01)</t>
        </is>
      </c>
      <c r="C160" s="8" t="inlineStr">
        <is>
          <t>APP-05</t>
        </is>
      </c>
      <c r="D160" s="8">
        <f>IFERROR(INDEX(Rules!$C$2:$C$104,MATCH(C160,Rules!$A$2:$A$104,0)),"")</f>
        <v/>
      </c>
      <c r="E160" s="8" t="inlineStr">
        <is>
          <t>App timer page</t>
        </is>
      </c>
      <c r="F160" s="8" t="inlineStr">
        <is>
          <t>Enable slot 2, Save &amp; Start</t>
        </is>
      </c>
      <c r="G160" s="8" t="inlineStr">
        <is>
          <t>Timer starts with slot 2</t>
        </is>
      </c>
      <c r="H160" s="12" t="n"/>
      <c r="I160" s="12" t="inlineStr">
        <is>
          <t>Not Run</t>
        </is>
      </c>
      <c r="J160" s="12" t="n"/>
      <c r="K160" s="12" t="n"/>
      <c r="L160" s="12" t="n"/>
      <c r="M160" s="8" t="n"/>
    </row>
    <row r="161">
      <c r="A161" s="7" t="inlineStr">
        <is>
          <t>TC-APP-06</t>
        </is>
      </c>
      <c r="B161" s="8" t="inlineStr">
        <is>
          <t>Web app (ESP-01)</t>
        </is>
      </c>
      <c r="C161" s="8" t="inlineStr">
        <is>
          <t>APP-06</t>
        </is>
      </c>
      <c r="D161" s="8">
        <f>IFERROR(INDEX(Rules!$C$2:$C$104,MATCH(C161,Rules!$A$2:$A$104,0)),"")</f>
        <v/>
      </c>
      <c r="E161" s="8" t="inlineStr">
        <is>
          <t>App twist page</t>
        </is>
      </c>
      <c r="F161" s="8" t="inlineStr">
        <is>
          <t>Set ON 3 / OFF 2 min, Save &amp; Start; reload</t>
        </is>
      </c>
      <c r="G161" s="8" t="inlineStr">
        <is>
          <t>Twist runs; page shows 3/2 min and running</t>
        </is>
      </c>
      <c r="H161" s="12" t="n"/>
      <c r="I161" s="12" t="inlineStr">
        <is>
          <t>Not Run</t>
        </is>
      </c>
      <c r="J161" s="12" t="n"/>
      <c r="K161" s="12" t="n"/>
      <c r="L161" s="12" t="n"/>
      <c r="M161" s="8" t="n"/>
    </row>
    <row r="162">
      <c r="A162" s="7" t="inlineStr">
        <is>
          <t>TC-APP-07</t>
        </is>
      </c>
      <c r="B162" s="8" t="inlineStr">
        <is>
          <t>Web app (ESP-01)</t>
        </is>
      </c>
      <c r="C162" s="8" t="inlineStr">
        <is>
          <t>APP-07</t>
        </is>
      </c>
      <c r="D162" s="8">
        <f>IFERROR(INDEX(Rules!$C$2:$C$104,MATCH(C162,Rules!$A$2:$A$104,0)),"")</f>
        <v/>
      </c>
      <c r="E162" s="8" t="inlineStr">
        <is>
          <t>Countdown started from button 4</t>
        </is>
      </c>
      <c r="F162" s="8" t="inlineStr">
        <is>
          <t>Open app countdown page</t>
        </is>
      </c>
      <c r="G162" s="8" t="inlineStr">
        <is>
          <t>Page shows remaining time counting down</t>
        </is>
      </c>
      <c r="H162" s="12" t="n"/>
      <c r="I162" s="12" t="inlineStr">
        <is>
          <t>Not Run</t>
        </is>
      </c>
      <c r="J162" s="12" t="n"/>
      <c r="K162" s="12" t="n"/>
      <c r="L162" s="12" t="n"/>
      <c r="M162" s="8" t="n"/>
    </row>
    <row r="163">
      <c r="A163" s="7" t="inlineStr">
        <is>
          <t>TC-APP-08</t>
        </is>
      </c>
      <c r="B163" s="8" t="inlineStr">
        <is>
          <t>Web app (ESP-01)</t>
        </is>
      </c>
      <c r="C163" s="8" t="inlineStr">
        <is>
          <t>APP-08</t>
        </is>
      </c>
      <c r="D163" s="8">
        <f>IFERROR(INDEX(Rules!$C$2:$C$104,MATCH(C163,Rules!$A$2:$A$104,0)),"")</f>
        <v/>
      </c>
      <c r="E163" s="8" t="inlineStr">
        <is>
          <t>App settings page</t>
        </is>
      </c>
      <c r="F163" s="8" t="inlineStr">
        <is>
          <t>Check buzzer switches and power restore</t>
        </is>
      </c>
      <c r="G163" s="8" t="inlineStr">
        <is>
          <t>3 separate buzzer switches; power restore ON/OFF</t>
        </is>
      </c>
      <c r="H163" s="12" t="n"/>
      <c r="I163" s="12" t="inlineStr">
        <is>
          <t>Not Run</t>
        </is>
      </c>
      <c r="J163" s="12" t="n"/>
      <c r="K163" s="12" t="n"/>
      <c r="L163" s="12" t="n"/>
      <c r="M163" s="8" t="n"/>
    </row>
  </sheetData>
  <autoFilter ref="A1:M163"/>
  <conditionalFormatting sqref="I2:I363">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363" showDropDown="0" showInputMessage="0" showErrorMessage="0" allowBlank="0" type="list">
      <formula1>"Not Run,Pass,Fail,Blocked"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55" customWidth="1" min="3" max="3"/>
    <col width="40" customWidth="1" min="4" max="4"/>
    <col width="20" customWidth="1" min="5" max="5"/>
    <col width="40" customWidth="1" min="6" max="6"/>
  </cols>
  <sheetData>
    <row r="1" ht="30" customHeight="1">
      <c r="A1" s="6" t="inlineStr">
        <is>
          <t>ID</t>
        </is>
      </c>
      <c r="B1" s="6" t="inlineStr">
        <is>
          <t>Topic</t>
        </is>
      </c>
      <c r="C1" s="6" t="inlineStr">
        <is>
          <t>Current behaviour</t>
        </is>
      </c>
      <c r="D1" s="6" t="inlineStr">
        <is>
          <t>Options</t>
        </is>
      </c>
      <c r="E1" s="6" t="inlineStr">
        <is>
          <t>Client decision</t>
        </is>
      </c>
      <c r="F1" s="6" t="inlineStr">
        <is>
          <t>Client Comment</t>
        </is>
      </c>
    </row>
    <row r="2">
      <c r="A2" s="7" t="inlineStr">
        <is>
          <t>DEC-01</t>
        </is>
      </c>
      <c r="B2" s="8" t="inlineStr">
        <is>
          <t>Timer after tank full</t>
        </is>
      </c>
      <c r="C2" s="8" t="inlineStr">
        <is>
          <t>Now: motor restarts as soon as the level drops below 100% while the slot is active. Auto and Twist wait for 25%.</t>
        </is>
      </c>
      <c r="D2" s="8" t="inlineStr">
        <is>
          <t>(a) Keep as now   (b) Restart only at 25% or below</t>
        </is>
      </c>
      <c r="E2" s="12" t="n"/>
      <c r="F2" s="12" t="n"/>
    </row>
    <row r="3">
      <c r="A3" s="7" t="inlineStr">
        <is>
          <t>DEC-03</t>
        </is>
      </c>
      <c r="B3" s="8" t="inlineStr">
        <is>
          <t>Automatic Auto when idle</t>
        </is>
      </c>
      <c r="C3" s="8" t="inlineStr">
        <is>
          <t>Now: when no mode is running and the level goes below 50% (25%), the device starts Auto by itself (not when Auto or Manual was switched off with its button).</t>
        </is>
      </c>
      <c r="D3" s="8" t="inlineStr">
        <is>
          <t>(a) Keep as now   (b) Never start Auto by itself</t>
        </is>
      </c>
      <c r="E3" s="12" t="n"/>
      <c r="F3" s="12" t="n"/>
    </row>
    <row r="4">
      <c r="A4" s="7" t="inlineStr">
        <is>
          <t>DEC-04</t>
        </is>
      </c>
      <c r="B4" s="8" t="inlineStr">
        <is>
          <t>Retry count used up</t>
        </is>
      </c>
      <c r="C4" s="8" t="inlineStr">
        <is>
          <t>Now: after all dry run retries fail, the motor waits for ground water or the user.</t>
        </is>
      </c>
      <c r="D4" s="8" t="inlineStr">
        <is>
          <t>(a) Keep as now   (b) Retry again after a longer gap - give time</t>
        </is>
      </c>
      <c r="E4" s="12" t="n"/>
      <c r="F4" s="12" t="n"/>
    </row>
    <row r="5">
      <c r="A5" s="7" t="inlineStr">
        <is>
          <t>DEC-05</t>
        </is>
      </c>
      <c r="B5" s="8" t="inlineStr">
        <is>
          <t>Current fault recovery</t>
        </is>
      </c>
      <c r="C5" s="8" t="inlineStr">
        <is>
          <t>Now: after an over/under-current trip the motor may restart after the testing gap (default 30 min).</t>
        </is>
      </c>
      <c r="D5" s="8" t="inlineStr">
        <is>
          <t>(a) Keep as now   (b) Different time - give time   (c) Only the user restarts</t>
        </is>
      </c>
      <c r="E5" s="12" t="n"/>
      <c r="F5" s="12" t="n"/>
    </row>
    <row r="6">
      <c r="A6" s="7" t="inlineStr">
        <is>
          <t>DEC-06</t>
        </is>
      </c>
      <c r="B6" s="8" t="inlineStr">
        <is>
          <t>Starter relays</t>
        </is>
      </c>
      <c r="C6" s="8" t="inlineStr">
        <is>
          <t>Now: relay 2 = 2 s pulse at motor start, relay 3 = 2 s pulse at motor stop.</t>
        </is>
      </c>
      <c r="D6" s="8" t="inlineStr">
        <is>
          <t>(a) Correct   (b) Different wiring - describe</t>
        </is>
      </c>
      <c r="E6" s="12" t="n"/>
      <c r="F6" s="12" t="n"/>
    </row>
    <row r="7">
      <c r="A7" s="7" t="inlineStr">
        <is>
          <t>DEC-07</t>
        </is>
      </c>
      <c r="B7" s="8" t="inlineStr">
        <is>
          <t>Twist days</t>
        </is>
      </c>
      <c r="C7" s="8" t="inlineStr">
        <is>
          <t>Now: the app lets you pick days for Twist but the device runs Twist every day.</t>
        </is>
      </c>
      <c r="D7" s="8" t="inlineStr">
        <is>
          <t>(a) Every day is fine   (b) Add day selection</t>
        </is>
      </c>
      <c r="E7" s="12" t="n"/>
      <c r="F7" s="12" t="n"/>
    </row>
    <row r="8">
      <c r="A8" s="7" t="inlineStr">
        <is>
          <t>DEC-08</t>
        </is>
      </c>
      <c r="B8" s="8" t="inlineStr">
        <is>
          <t>Auto start level</t>
        </is>
      </c>
      <c r="C8" s="8" t="inlineStr">
        <is>
          <t>The Key Story says the motor starts when the level goes below 50%. The probes read 0/25/50/75/100%, so this is 25%. Now: the motor starts at 25%.</t>
        </is>
      </c>
      <c r="D8" s="8" t="inlineStr">
        <is>
          <t>(a) 25% (below 50%)   (b) 50%   (c) 50% the first time, 25% after the tank was filled</t>
        </is>
      </c>
      <c r="E8" s="12" t="n"/>
      <c r="F8" s="12" t="n"/>
    </row>
    <row r="9">
      <c r="A9" s="7" t="inlineStr">
        <is>
          <t>DEC-09</t>
        </is>
      </c>
      <c r="B9" s="8" t="inlineStr">
        <is>
          <t>Ground water lost</t>
        </is>
      </c>
      <c r="C9" s="8" t="inlineStr">
        <is>
          <t>The first testing report made ground water lost an off key in Auto and Timer; the Key Story does not list it. Now: the motor stops 10 s after ground water is lost and tries again after the testing gap.</t>
        </is>
      </c>
      <c r="D9" s="8" t="inlineStr">
        <is>
          <t>(a) Keep: ground water lost stops the motor   (b) Remove: ground water only starts the motor</t>
        </is>
      </c>
      <c r="E9" s="12" t="n"/>
      <c r="F9" s="12" t="n"/>
    </row>
    <row r="10">
      <c r="A10" s="7" t="inlineStr">
        <is>
          <t>DEC-10</t>
        </is>
      </c>
      <c r="B10" s="8" t="inlineStr">
        <is>
          <t>Resume after a power cut</t>
        </is>
      </c>
      <c r="C10" s="8" t="inlineStr">
        <is>
          <t>Semi-Auto, Countdown and Twist continue after a power cut. Now: only when Power Restore = ON; with OFF the device starts in Manual with the motor off.</t>
        </is>
      </c>
      <c r="D10" s="8" t="inlineStr">
        <is>
          <t>(a) Only with Power Restore ON   (b) Always</t>
        </is>
      </c>
      <c r="E10" s="12" t="n"/>
      <c r="F10" s="12" t="n"/>
    </row>
    <row r="11">
      <c r="A11" s="7" t="inlineStr">
        <is>
          <t>DEC-11</t>
        </is>
      </c>
      <c r="B11" s="8" t="inlineStr">
        <is>
          <t>Refill + power cut, previous mode Auto, Power Restore ON</t>
        </is>
      </c>
      <c r="C11" s="8" t="inlineStr">
        <is>
          <t>Refill rule: motor off after power restore. Auto rule: motor starts again. Now: the Auto rule applies (motor starts after 10 s unless the tank is full).</t>
        </is>
      </c>
      <c r="D11" s="8" t="inlineStr">
        <is>
          <t>(a) Motor stays OFF until Auto's next on key   (b) Auto rule: motor starts</t>
        </is>
      </c>
      <c r="E11" s="12" t="n"/>
      <c r="F11"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2026-09-26T10:01:28Z</dcterms:created>
  <dcterms:modified xmlns:dcterms="http://purl.org/dc/terms/" xmlns:xsi="http://www.w3.org/2001/XMLSchema-instance" xsi:type="dcterms:W3CDTF">2026-09-26T10:01:28Z</dcterms:modified>
</cp:coreProperties>
</file>